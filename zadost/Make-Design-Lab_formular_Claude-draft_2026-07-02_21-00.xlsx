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ODROBNÝ POPIS" sheetId="1" state="visible" r:id="rId1"/>
    <sheet xmlns:r="http://schemas.openxmlformats.org/officeDocument/2006/relationships" name="PROJEKTOVÝ PLÁN" sheetId="2" state="visible" r:id="rId2"/>
    <sheet xmlns:r="http://schemas.openxmlformats.org/officeDocument/2006/relationships" name="ROZPOČET 2027" sheetId="3" state="visible" r:id="rId3"/>
    <sheet xmlns:r="http://schemas.openxmlformats.org/officeDocument/2006/relationships" name="ROZPOČET 2028" sheetId="4" state="visible" r:id="rId4"/>
  </sheets>
  <definedNames>
    <definedName name="_xlnm._FilterDatabase" localSheetId="2" hidden="1">'ROZPOČET 2027'!$A$4:$I$47</definedName>
    <definedName name="_xlnm._FilterDatabase" localSheetId="3" hidden="1">'ROZPOČET 2028'!$A$4:$I$47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\ [$Kč-405]"/>
    <numFmt numFmtId="165" formatCode="d\.m\."/>
  </numFmts>
  <fonts count="18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/>
    <font>
      <name val="Arial"/>
      <color rgb="FF0000FF"/>
      <sz val="10"/>
      <u val="single"/>
    </font>
    <font>
      <name val="Arial"/>
      <i val="1"/>
      <color rgb="FFC27BA0"/>
      <sz val="11"/>
    </font>
    <font>
      <name val="Arial"/>
      <b val="1"/>
      <i val="1"/>
      <color theme="1"/>
      <sz val="10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b val="1"/>
      <color theme="1"/>
      <sz val="16"/>
    </font>
    <font>
      <name val="Arial"/>
      <color theme="1"/>
      <sz val="11"/>
    </font>
    <font>
      <name val="Arial"/>
      <b val="1"/>
      <color rgb="FFFF0000"/>
      <sz val="10"/>
    </font>
    <font>
      <name val="Arial"/>
      <b val="1"/>
      <color theme="1"/>
      <sz val="14"/>
    </font>
    <font>
      <name val="Arial"/>
      <b val="1"/>
      <color rgb="FF000000"/>
      <sz val="11"/>
    </font>
    <font>
      <name val="Arial"/>
      <color rgb="FF000000"/>
      <sz val="10"/>
    </font>
    <font>
      <name val="Arial"/>
      <b val="1"/>
      <color theme="1"/>
      <sz val="11"/>
    </font>
    <font>
      <name val="Arial"/>
      <color rgb="FFFF0000"/>
      <sz val="10"/>
    </font>
    <font>
      <name val="Calibri"/>
      <color theme="1"/>
      <sz val="11"/>
    </font>
  </fonts>
  <fills count="16">
    <fill>
      <patternFill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DB5F8"/>
        <bgColor rgb="FF8DB5F8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</fills>
  <borders count="116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medium">
        <color rgb="FF000000"/>
      </right>
      <top style="thick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ck">
        <color rgb="FF000000"/>
      </left>
      <top style="thick">
        <color rgb="FF000000"/>
      </top>
      <bottom/>
    </border>
    <border>
      <left/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thick">
        <color rgb="FF000000"/>
      </right>
      <top style="hair">
        <color rgb="FF000000"/>
      </top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thick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ck">
        <color rgb="FF000000"/>
      </right>
      <top/>
      <bottom style="hair">
        <color rgb="FF000000"/>
      </bottom>
    </border>
    <border>
      <right style="hair">
        <color rgb="FF000000"/>
      </right>
    </border>
    <border>
      <left/>
      <right style="hair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  <bottom style="hair">
        <color rgb="FF000000"/>
      </bottom>
    </border>
    <border>
      <left/>
      <right style="hair">
        <color rgb="FF000000"/>
      </right>
      <top/>
      <bottom/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medium">
        <color rgb="FF000000"/>
      </right>
      <top style="thin">
        <color rgb="FF000000"/>
      </top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/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right style="thick">
        <color rgb="FF000000"/>
      </right>
      <top style="thick">
        <color rgb="FF000000"/>
      </top>
    </border>
  </borders>
  <cellStyleXfs count="1">
    <xf numFmtId="0" fontId="0" fillId="0" borderId="0"/>
  </cellStyleXfs>
  <cellXfs count="26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vertical="top"/>
    </xf>
    <xf numFmtId="0" fontId="2" fillId="3" borderId="3" applyAlignment="1" pivotButton="0" quotePrefix="0" xfId="0">
      <alignment vertical="top"/>
    </xf>
    <xf numFmtId="0" fontId="3" fillId="0" borderId="4" pivotButton="0" quotePrefix="0" xfId="0"/>
    <xf numFmtId="0" fontId="1" fillId="3" borderId="5" applyAlignment="1" pivotButton="0" quotePrefix="0" xfId="0">
      <alignment vertical="top"/>
    </xf>
    <xf numFmtId="0" fontId="2" fillId="3" borderId="6" applyAlignment="1" pivotButton="0" quotePrefix="0" xfId="0">
      <alignment vertical="top"/>
    </xf>
    <xf numFmtId="0" fontId="3" fillId="0" borderId="7" pivotButton="0" quotePrefix="0" xfId="0"/>
    <xf numFmtId="0" fontId="2" fillId="3" borderId="8" applyAlignment="1" pivotButton="0" quotePrefix="0" xfId="0">
      <alignment vertical="top"/>
    </xf>
    <xf numFmtId="0" fontId="3" fillId="0" borderId="9" pivotButton="0" quotePrefix="0" xfId="0"/>
    <xf numFmtId="0" fontId="1" fillId="3" borderId="10" applyAlignment="1" pivotButton="0" quotePrefix="0" xfId="0">
      <alignment vertical="top" wrapText="1"/>
    </xf>
    <xf numFmtId="0" fontId="2" fillId="3" borderId="3" applyAlignment="1" pivotButton="0" quotePrefix="0" xfId="0">
      <alignment vertical="top"/>
    </xf>
    <xf numFmtId="0" fontId="3" fillId="0" borderId="11" pivotButton="0" quotePrefix="0" xfId="0"/>
    <xf numFmtId="0" fontId="2" fillId="3" borderId="12" applyAlignment="1" pivotButton="0" quotePrefix="0" xfId="0">
      <alignment vertical="top"/>
    </xf>
    <xf numFmtId="0" fontId="4" fillId="3" borderId="12" applyAlignment="1" pivotButton="0" quotePrefix="0" xfId="0">
      <alignment vertical="top"/>
    </xf>
    <xf numFmtId="0" fontId="1" fillId="3" borderId="13" applyAlignment="1" pivotButton="0" quotePrefix="0" xfId="0">
      <alignment vertical="top" wrapText="1"/>
    </xf>
    <xf numFmtId="0" fontId="2" fillId="3" borderId="14" applyAlignment="1" pivotButton="0" quotePrefix="0" xfId="0">
      <alignment vertical="top" wrapText="1"/>
    </xf>
    <xf numFmtId="0" fontId="3" fillId="0" borderId="15" pivotButton="0" quotePrefix="0" xfId="0"/>
    <xf numFmtId="0" fontId="1" fillId="3" borderId="10" applyAlignment="1" pivotButton="0" quotePrefix="0" xfId="0">
      <alignment vertical="top"/>
    </xf>
    <xf numFmtId="0" fontId="2" fillId="3" borderId="12" applyAlignment="1" pivotButton="0" quotePrefix="0" xfId="0">
      <alignment vertical="top"/>
    </xf>
    <xf numFmtId="0" fontId="1" fillId="3" borderId="13" applyAlignment="1" pivotButton="0" quotePrefix="0" xfId="0">
      <alignment vertical="top" wrapText="1"/>
    </xf>
    <xf numFmtId="0" fontId="2" fillId="3" borderId="14" applyAlignment="1" pivotButton="0" quotePrefix="0" xfId="0">
      <alignment vertical="top"/>
    </xf>
    <xf numFmtId="0" fontId="1" fillId="3" borderId="16" applyAlignment="1" pivotButton="0" quotePrefix="0" xfId="0">
      <alignment vertical="top" wrapText="1"/>
    </xf>
    <xf numFmtId="0" fontId="1" fillId="3" borderId="17" applyAlignment="1" pivotButton="0" quotePrefix="0" xfId="0">
      <alignment vertical="top" wrapText="1"/>
    </xf>
    <xf numFmtId="0" fontId="2" fillId="3" borderId="18" applyAlignment="1" pivotButton="0" quotePrefix="0" xfId="0">
      <alignment vertical="top"/>
    </xf>
    <xf numFmtId="0" fontId="3" fillId="0" borderId="19" pivotButton="0" quotePrefix="0" xfId="0"/>
    <xf numFmtId="0" fontId="3" fillId="0" borderId="20" pivotButton="0" quotePrefix="0" xfId="0"/>
    <xf numFmtId="0" fontId="2" fillId="3" borderId="21" applyAlignment="1" pivotButton="0" quotePrefix="0" xfId="0">
      <alignment vertical="top"/>
    </xf>
    <xf numFmtId="0" fontId="1" fillId="3" borderId="22" applyAlignment="1" pivotButton="0" quotePrefix="0" xfId="0">
      <alignment vertical="top"/>
    </xf>
    <xf numFmtId="0" fontId="5" fillId="3" borderId="6" applyAlignment="1" pivotButton="0" quotePrefix="0" xfId="0">
      <alignment vertical="top" wrapText="1"/>
    </xf>
    <xf numFmtId="0" fontId="1" fillId="3" borderId="23" applyAlignment="1" pivotButton="0" quotePrefix="0" xfId="0">
      <alignment vertical="top" wrapText="1"/>
    </xf>
    <xf numFmtId="0" fontId="2" fillId="3" borderId="18" applyAlignment="1" pivotButton="0" quotePrefix="0" xfId="0">
      <alignment vertical="top" wrapText="1"/>
    </xf>
    <xf numFmtId="0" fontId="1" fillId="3" borderId="24" applyAlignment="1" pivotButton="0" quotePrefix="0" xfId="0">
      <alignment vertical="top" wrapText="1"/>
    </xf>
    <xf numFmtId="0" fontId="1" fillId="3" borderId="22" applyAlignment="1" pivotButton="0" quotePrefix="0" xfId="0">
      <alignment vertical="top" wrapText="1"/>
    </xf>
    <xf numFmtId="0" fontId="2" fillId="3" borderId="8" applyAlignment="1" pivotButton="0" quotePrefix="0" xfId="0">
      <alignment vertical="top" wrapText="1"/>
    </xf>
    <xf numFmtId="0" fontId="1" fillId="3" borderId="25" applyAlignment="1" pivotButton="0" quotePrefix="0" xfId="0">
      <alignment vertical="top" wrapText="1"/>
    </xf>
    <xf numFmtId="0" fontId="3" fillId="0" borderId="26" pivotButton="0" quotePrefix="0" xfId="0"/>
    <xf numFmtId="0" fontId="1" fillId="4" borderId="27" applyAlignment="1" pivotButton="0" quotePrefix="0" xfId="0">
      <alignment vertical="top"/>
    </xf>
    <xf numFmtId="0" fontId="3" fillId="0" borderId="28" pivotButton="0" quotePrefix="0" xfId="0"/>
    <xf numFmtId="0" fontId="1" fillId="5" borderId="22" applyAlignment="1" pivotButton="0" quotePrefix="0" xfId="0">
      <alignment horizontal="right" vertical="top"/>
    </xf>
    <xf numFmtId="0" fontId="2" fillId="5" borderId="25" applyAlignment="1" pivotButton="0" quotePrefix="0" xfId="0">
      <alignment vertical="top"/>
    </xf>
    <xf numFmtId="0" fontId="2" fillId="5" borderId="12" applyAlignment="1" pivotButton="0" quotePrefix="0" xfId="0">
      <alignment vertical="top"/>
    </xf>
    <xf numFmtId="0" fontId="2" fillId="5" borderId="29" applyAlignment="1" pivotButton="0" quotePrefix="0" xfId="0">
      <alignment vertical="top"/>
    </xf>
    <xf numFmtId="0" fontId="2" fillId="5" borderId="30" applyAlignment="1" pivotButton="0" quotePrefix="0" xfId="0">
      <alignment vertical="top"/>
    </xf>
    <xf numFmtId="0" fontId="1" fillId="5" borderId="22" applyAlignment="1" pivotButton="0" quotePrefix="0" xfId="0">
      <alignment vertical="top" wrapText="1"/>
    </xf>
    <xf numFmtId="0" fontId="2" fillId="5" borderId="31" applyAlignment="1" pivotButton="0" quotePrefix="0" xfId="0">
      <alignment vertical="top"/>
    </xf>
    <xf numFmtId="0" fontId="2" fillId="5" borderId="32" applyAlignment="1" pivotButton="0" quotePrefix="0" xfId="0">
      <alignment vertical="top"/>
    </xf>
    <xf numFmtId="0" fontId="1" fillId="5" borderId="22" applyAlignment="1" pivotButton="0" quotePrefix="0" xfId="0">
      <alignment horizontal="right" vertical="top" wrapText="1"/>
    </xf>
    <xf numFmtId="0" fontId="1" fillId="5" borderId="25" applyAlignment="1" pivotButton="0" quotePrefix="0" xfId="0">
      <alignment vertical="top" wrapText="1"/>
    </xf>
    <xf numFmtId="0" fontId="2" fillId="5" borderId="12" applyAlignment="1" pivotButton="0" quotePrefix="0" xfId="0">
      <alignment vertical="top" wrapText="1"/>
    </xf>
    <xf numFmtId="0" fontId="1" fillId="5" borderId="12" applyAlignment="1" pivotButton="0" quotePrefix="0" xfId="0">
      <alignment vertical="top" wrapText="1"/>
    </xf>
    <xf numFmtId="0" fontId="1" fillId="4" borderId="23" applyAlignment="1" pivotButton="0" quotePrefix="0" xfId="0">
      <alignment horizontal="left" vertical="top" wrapText="1"/>
    </xf>
    <xf numFmtId="0" fontId="1" fillId="4" borderId="33" applyAlignment="1" pivotButton="0" quotePrefix="0" xfId="0">
      <alignment vertical="top" wrapText="1"/>
    </xf>
    <xf numFmtId="0" fontId="1" fillId="5" borderId="34" applyAlignment="1" pivotButton="0" quotePrefix="0" xfId="0">
      <alignment vertical="top" wrapText="1"/>
    </xf>
    <xf numFmtId="0" fontId="2" fillId="5" borderId="35" applyAlignment="1" pivotButton="0" quotePrefix="0" xfId="0">
      <alignment vertical="top"/>
    </xf>
    <xf numFmtId="0" fontId="1" fillId="5" borderId="24" applyAlignment="1" pivotButton="0" quotePrefix="0" xfId="0">
      <alignment vertical="top" wrapText="1"/>
    </xf>
    <xf numFmtId="0" fontId="2" fillId="5" borderId="6" applyAlignment="1" pivotButton="0" quotePrefix="0" xfId="0">
      <alignment vertical="top"/>
    </xf>
    <xf numFmtId="0" fontId="1" fillId="6" borderId="36" applyAlignment="1" pivotButton="0" quotePrefix="0" xfId="0">
      <alignment vertical="top"/>
    </xf>
    <xf numFmtId="0" fontId="3" fillId="0" borderId="37" pivotButton="0" quotePrefix="0" xfId="0"/>
    <xf numFmtId="0" fontId="3" fillId="0" borderId="38" pivotButton="0" quotePrefix="0" xfId="0"/>
    <xf numFmtId="0" fontId="1" fillId="7" borderId="24" applyAlignment="1" pivotButton="0" quotePrefix="0" xfId="0">
      <alignment vertical="top" wrapText="1"/>
    </xf>
    <xf numFmtId="0" fontId="2" fillId="7" borderId="6" applyAlignment="1" pivotButton="0" quotePrefix="0" xfId="0">
      <alignment vertical="top"/>
    </xf>
    <xf numFmtId="0" fontId="1" fillId="7" borderId="22" applyAlignment="1" pivotButton="0" quotePrefix="0" xfId="0">
      <alignment vertical="top" wrapText="1"/>
    </xf>
    <xf numFmtId="0" fontId="2" fillId="7" borderId="39" applyAlignment="1" pivotButton="0" quotePrefix="0" xfId="0">
      <alignment vertical="top"/>
    </xf>
    <xf numFmtId="0" fontId="3" fillId="0" borderId="40" pivotButton="0" quotePrefix="0" xfId="0"/>
    <xf numFmtId="0" fontId="1" fillId="6" borderId="41" applyAlignment="1" pivotButton="0" quotePrefix="0" xfId="0">
      <alignment vertical="top"/>
    </xf>
    <xf numFmtId="0" fontId="3" fillId="0" borderId="42" pivotButton="0" quotePrefix="0" xfId="0"/>
    <xf numFmtId="0" fontId="3" fillId="0" borderId="43" pivotButton="0" quotePrefix="0" xfId="0"/>
    <xf numFmtId="0" fontId="1" fillId="7" borderId="22" applyAlignment="1" pivotButton="0" quotePrefix="0" xfId="0">
      <alignment vertical="top"/>
    </xf>
    <xf numFmtId="0" fontId="1" fillId="7" borderId="6" applyAlignment="1" pivotButton="0" quotePrefix="0" xfId="0">
      <alignment vertical="top"/>
    </xf>
    <xf numFmtId="0" fontId="1" fillId="7" borderId="22" applyAlignment="1" pivotButton="0" quotePrefix="0" xfId="0">
      <alignment horizontal="left" vertical="top"/>
    </xf>
    <xf numFmtId="0" fontId="1" fillId="7" borderId="18" applyAlignment="1" pivotButton="0" quotePrefix="0" xfId="0">
      <alignment vertical="top"/>
    </xf>
    <xf numFmtId="0" fontId="1" fillId="7" borderId="22" applyAlignment="1" pivotButton="0" quotePrefix="0" xfId="0">
      <alignment horizontal="left" vertical="top" wrapText="1"/>
    </xf>
    <xf numFmtId="0" fontId="1" fillId="8" borderId="36" applyAlignment="1" pivotButton="0" quotePrefix="0" xfId="0">
      <alignment vertical="top" wrapText="1"/>
    </xf>
    <xf numFmtId="0" fontId="1" fillId="9" borderId="22" applyAlignment="1" pivotButton="0" quotePrefix="0" xfId="0">
      <alignment horizontal="right" vertical="top" wrapText="1"/>
    </xf>
    <xf numFmtId="0" fontId="2" fillId="9" borderId="6" applyAlignment="1" pivotButton="0" quotePrefix="0" xfId="0">
      <alignment vertical="top"/>
    </xf>
    <xf numFmtId="0" fontId="2" fillId="9" borderId="18" applyAlignment="1" pivotButton="0" quotePrefix="0" xfId="0">
      <alignment vertical="top"/>
    </xf>
    <xf numFmtId="0" fontId="2" fillId="9" borderId="39" applyAlignment="1" pivotButton="0" quotePrefix="0" xfId="0">
      <alignment vertical="top"/>
    </xf>
    <xf numFmtId="0" fontId="1" fillId="8" borderId="41" applyAlignment="1" pivotButton="0" quotePrefix="0" xfId="0">
      <alignment vertical="top"/>
    </xf>
    <xf numFmtId="0" fontId="1" fillId="9" borderId="22" applyAlignment="1" pivotButton="0" quotePrefix="0" xfId="0">
      <alignment horizontal="right" vertical="top"/>
    </xf>
    <xf numFmtId="0" fontId="1" fillId="9" borderId="44" applyAlignment="1" pivotButton="0" quotePrefix="0" xfId="0">
      <alignment horizontal="right" vertical="top"/>
    </xf>
    <xf numFmtId="0" fontId="2" fillId="9" borderId="45" applyAlignment="1" pivotButton="0" quotePrefix="0" xfId="0">
      <alignment vertical="top"/>
    </xf>
    <xf numFmtId="0" fontId="3" fillId="0" borderId="46" pivotButton="0" quotePrefix="0" xfId="0"/>
    <xf numFmtId="0" fontId="1" fillId="10" borderId="47" applyAlignment="1" pivotButton="0" quotePrefix="0" xfId="0">
      <alignment horizontal="left" vertical="top"/>
    </xf>
    <xf numFmtId="0" fontId="3" fillId="0" borderId="48" pivotButton="0" quotePrefix="0" xfId="0"/>
    <xf numFmtId="0" fontId="3" fillId="0" borderId="49" pivotButton="0" quotePrefix="0" xfId="0"/>
    <xf numFmtId="0" fontId="1" fillId="11" borderId="50" applyAlignment="1" pivotButton="0" quotePrefix="0" xfId="0">
      <alignment horizontal="left" vertical="top" wrapText="1"/>
    </xf>
    <xf numFmtId="164" fontId="2" fillId="11" borderId="3" applyAlignment="1" pivotButton="0" quotePrefix="0" xfId="0">
      <alignment vertical="top"/>
    </xf>
    <xf numFmtId="0" fontId="1" fillId="11" borderId="13" applyAlignment="1" pivotButton="0" quotePrefix="0" xfId="0">
      <alignment horizontal="left" vertical="top" wrapText="1"/>
    </xf>
    <xf numFmtId="164" fontId="2" fillId="11" borderId="14" applyAlignment="1" pivotButton="0" quotePrefix="0" xfId="0">
      <alignment vertical="top"/>
    </xf>
    <xf numFmtId="0" fontId="1" fillId="11" borderId="34" applyAlignment="1" pivotButton="0" quotePrefix="0" xfId="0">
      <alignment horizontal="left" vertical="top" wrapText="1"/>
    </xf>
    <xf numFmtId="0" fontId="2" fillId="11" borderId="31" applyAlignment="1" pivotButton="0" quotePrefix="0" xfId="0">
      <alignment vertical="top"/>
    </xf>
    <xf numFmtId="0" fontId="2" fillId="11" borderId="32" applyAlignment="1" pivotButton="0" quotePrefix="0" xfId="0">
      <alignment vertical="top"/>
    </xf>
    <xf numFmtId="0" fontId="1" fillId="11" borderId="51" applyAlignment="1" pivotButton="0" quotePrefix="0" xfId="0">
      <alignment horizontal="left" vertical="top" wrapText="1"/>
    </xf>
    <xf numFmtId="0" fontId="2" fillId="11" borderId="25" applyAlignment="1" pivotButton="0" quotePrefix="0" xfId="0">
      <alignment vertical="top"/>
    </xf>
    <xf numFmtId="0" fontId="2" fillId="11" borderId="12" applyAlignment="1" pivotButton="0" quotePrefix="0" xfId="0">
      <alignment vertical="top"/>
    </xf>
    <xf numFmtId="0" fontId="1" fillId="11" borderId="51" applyAlignment="1" pivotButton="0" quotePrefix="0" xfId="0">
      <alignment horizontal="left" vertical="top"/>
    </xf>
    <xf numFmtId="0" fontId="1" fillId="11" borderId="13" applyAlignment="1" pivotButton="0" quotePrefix="0" xfId="0">
      <alignment horizontal="left" vertical="top"/>
    </xf>
    <xf numFmtId="0" fontId="2" fillId="11" borderId="52" applyAlignment="1" pivotButton="0" quotePrefix="0" xfId="0">
      <alignment vertical="top"/>
    </xf>
    <xf numFmtId="0" fontId="2" fillId="11" borderId="5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2" fillId="9" borderId="1" pivotButton="0" quotePrefix="0" xfId="0"/>
    <xf numFmtId="0" fontId="2" fillId="5" borderId="1" pivotButton="0" quotePrefix="0" xfId="0"/>
    <xf numFmtId="0" fontId="7" fillId="12" borderId="54" applyAlignment="1" pivotButton="0" quotePrefix="0" xfId="0">
      <alignment wrapText="1"/>
    </xf>
    <xf numFmtId="0" fontId="2" fillId="12" borderId="1" pivotButton="0" quotePrefix="0" xfId="0"/>
    <xf numFmtId="0" fontId="2" fillId="13" borderId="1" pivotButton="0" quotePrefix="0" xfId="0"/>
    <xf numFmtId="0" fontId="8" fillId="12" borderId="54" applyAlignment="1" pivotButton="0" quotePrefix="0" xfId="0">
      <alignment wrapText="1"/>
    </xf>
    <xf numFmtId="49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11" fillId="0" borderId="0" applyAlignment="1" pivotButton="0" quotePrefix="0" xfId="0">
      <alignment horizontal="left" vertical="top" wrapText="1"/>
    </xf>
    <xf numFmtId="49" fontId="12" fillId="14" borderId="55" applyAlignment="1" pivotButton="0" quotePrefix="0" xfId="0">
      <alignment horizontal="center" vertical="center"/>
    </xf>
    <xf numFmtId="0" fontId="13" fillId="14" borderId="56" applyAlignment="1" pivotButton="0" quotePrefix="0" xfId="0">
      <alignment horizontal="center" vertical="center"/>
    </xf>
    <xf numFmtId="0" fontId="3" fillId="0" borderId="57" pivotButton="0" quotePrefix="0" xfId="0"/>
    <xf numFmtId="49" fontId="1" fillId="0" borderId="58" applyAlignment="1" pivotButton="0" quotePrefix="0" xfId="0">
      <alignment vertical="center"/>
    </xf>
    <xf numFmtId="0" fontId="1" fillId="0" borderId="59" applyAlignment="1" pivotButton="0" quotePrefix="0" xfId="0">
      <alignment horizontal="center" vertical="center" wrapText="1"/>
    </xf>
    <xf numFmtId="3" fontId="1" fillId="0" borderId="60" applyAlignment="1" pivotButton="0" quotePrefix="0" xfId="0">
      <alignment horizontal="center" wrapText="1"/>
    </xf>
    <xf numFmtId="3" fontId="1" fillId="0" borderId="61" applyAlignment="1" pivotButton="0" quotePrefix="0" xfId="0">
      <alignment horizontal="center" wrapText="1"/>
    </xf>
    <xf numFmtId="0" fontId="1" fillId="0" borderId="62" applyAlignment="1" pivotButton="0" quotePrefix="0" xfId="0">
      <alignment horizontal="center" vertical="center" wrapText="1"/>
    </xf>
    <xf numFmtId="0" fontId="1" fillId="0" borderId="63" applyAlignment="1" pivotButton="0" quotePrefix="0" xfId="0">
      <alignment horizontal="center" vertical="center" wrapText="1"/>
    </xf>
    <xf numFmtId="0" fontId="1" fillId="0" borderId="64" applyAlignment="1" pivotButton="0" quotePrefix="0" xfId="0">
      <alignment horizontal="center" vertical="center" wrapText="1"/>
    </xf>
    <xf numFmtId="0" fontId="1" fillId="15" borderId="65" applyAlignment="1" pivotButton="0" quotePrefix="0" xfId="0">
      <alignment horizontal="right" vertical="center"/>
    </xf>
    <xf numFmtId="49" fontId="1" fillId="15" borderId="66" applyAlignment="1" pivotButton="0" quotePrefix="0" xfId="0">
      <alignment horizontal="left" vertical="center" wrapText="1"/>
    </xf>
    <xf numFmtId="4" fontId="1" fillId="15" borderId="67" applyAlignment="1" pivotButton="0" quotePrefix="0" xfId="0">
      <alignment horizontal="left" vertical="center" wrapText="1"/>
    </xf>
    <xf numFmtId="4" fontId="1" fillId="15" borderId="67" applyAlignment="1" pivotButton="0" quotePrefix="0" xfId="0">
      <alignment horizontal="right" vertical="center"/>
    </xf>
    <xf numFmtId="0" fontId="2" fillId="15" borderId="68" applyAlignment="1" pivotButton="0" quotePrefix="0" xfId="0">
      <alignment horizontal="left" vertical="center" wrapText="1"/>
    </xf>
    <xf numFmtId="4" fontId="1" fillId="15" borderId="69" applyAlignment="1" pivotButton="0" quotePrefix="0" xfId="0">
      <alignment horizontal="right" vertical="center"/>
    </xf>
    <xf numFmtId="0" fontId="2" fillId="0" borderId="70" applyAlignment="1" pivotButton="0" quotePrefix="0" xfId="0">
      <alignment vertical="center"/>
    </xf>
    <xf numFmtId="49" fontId="2" fillId="0" borderId="71" applyAlignment="1" pivotButton="0" quotePrefix="0" xfId="0">
      <alignment horizontal="left" vertical="center"/>
    </xf>
    <xf numFmtId="4" fontId="2" fillId="0" borderId="72" applyAlignment="1" pivotButton="0" quotePrefix="0" xfId="0">
      <alignment horizontal="right" vertical="center"/>
    </xf>
    <xf numFmtId="4" fontId="2" fillId="0" borderId="73" applyAlignment="1" pivotButton="0" quotePrefix="0" xfId="0">
      <alignment horizontal="right" vertical="center"/>
    </xf>
    <xf numFmtId="0" fontId="2" fillId="0" borderId="74" applyAlignment="1" pivotButton="0" quotePrefix="0" xfId="0">
      <alignment horizontal="left" vertical="center" wrapText="1"/>
    </xf>
    <xf numFmtId="4" fontId="2" fillId="0" borderId="75" applyAlignment="1" pivotButton="0" quotePrefix="0" xfId="0">
      <alignment horizontal="right" vertical="center" wrapText="1"/>
    </xf>
    <xf numFmtId="4" fontId="2" fillId="0" borderId="72" applyAlignment="1" pivotButton="0" quotePrefix="0" xfId="0">
      <alignment horizontal="right" vertical="center" wrapText="1"/>
    </xf>
    <xf numFmtId="4" fontId="2" fillId="0" borderId="76" applyAlignment="1" pivotButton="0" quotePrefix="0" xfId="0">
      <alignment horizontal="right" vertical="center" wrapText="1"/>
    </xf>
    <xf numFmtId="0" fontId="2" fillId="0" borderId="77" applyAlignment="1" pivotButton="0" quotePrefix="0" xfId="0">
      <alignment horizontal="left" vertical="center" wrapText="1"/>
    </xf>
    <xf numFmtId="4" fontId="2" fillId="0" borderId="78" applyAlignment="1" pivotButton="0" quotePrefix="0" xfId="0">
      <alignment horizontal="right" vertical="center" wrapText="1"/>
    </xf>
    <xf numFmtId="49" fontId="2" fillId="0" borderId="73" applyAlignment="1" pivotButton="0" quotePrefix="0" xfId="0">
      <alignment horizontal="left" vertical="center"/>
    </xf>
    <xf numFmtId="0" fontId="1" fillId="14" borderId="79" applyAlignment="1" pivotButton="0" quotePrefix="0" xfId="0">
      <alignment horizontal="right" vertical="center"/>
    </xf>
    <xf numFmtId="49" fontId="2" fillId="0" borderId="73" pivotButton="0" quotePrefix="0" xfId="0"/>
    <xf numFmtId="4" fontId="2" fillId="0" borderId="73" applyAlignment="1" pivotButton="0" quotePrefix="0" xfId="0">
      <alignment horizontal="right"/>
    </xf>
    <xf numFmtId="4" fontId="2" fillId="0" borderId="77" applyAlignment="1" pivotButton="0" quotePrefix="0" xfId="0">
      <alignment wrapText="1"/>
    </xf>
    <xf numFmtId="4" fontId="2" fillId="0" borderId="73" applyAlignment="1" pivotButton="0" quotePrefix="0" xfId="0">
      <alignment horizontal="right" vertical="center" wrapText="1"/>
    </xf>
    <xf numFmtId="4" fontId="2" fillId="0" borderId="80" applyAlignment="1" pivotButton="0" quotePrefix="0" xfId="0">
      <alignment horizontal="right" vertical="center" wrapText="1"/>
    </xf>
    <xf numFmtId="0" fontId="2" fillId="13" borderId="81" applyAlignment="1" pivotButton="0" quotePrefix="0" xfId="0">
      <alignment horizontal="left" vertical="center" wrapText="1"/>
    </xf>
    <xf numFmtId="4" fontId="2" fillId="13" borderId="82" applyAlignment="1" pivotButton="0" quotePrefix="0" xfId="0">
      <alignment horizontal="right" vertical="center" wrapText="1"/>
    </xf>
    <xf numFmtId="4" fontId="2" fillId="13" borderId="83" applyAlignment="1" pivotButton="0" quotePrefix="0" xfId="0">
      <alignment horizontal="right" vertical="center" wrapText="1"/>
    </xf>
    <xf numFmtId="4" fontId="14" fillId="0" borderId="73" applyAlignment="1" pivotButton="0" quotePrefix="0" xfId="0">
      <alignment horizontal="right" vertical="center" wrapText="1"/>
    </xf>
    <xf numFmtId="4" fontId="14" fillId="0" borderId="80" applyAlignment="1" pivotButton="0" quotePrefix="0" xfId="0">
      <alignment horizontal="right" vertical="center" wrapText="1"/>
    </xf>
    <xf numFmtId="4" fontId="1" fillId="15" borderId="67" applyAlignment="1" pivotButton="0" quotePrefix="0" xfId="0">
      <alignment horizontal="left" vertical="center"/>
    </xf>
    <xf numFmtId="165" fontId="2" fillId="0" borderId="70" applyAlignment="1" pivotButton="0" quotePrefix="0" xfId="0">
      <alignment vertical="center"/>
    </xf>
    <xf numFmtId="49" fontId="2" fillId="0" borderId="84" applyAlignment="1" pivotButton="0" quotePrefix="0" xfId="0">
      <alignment horizontal="left" vertical="center"/>
    </xf>
    <xf numFmtId="0" fontId="1" fillId="15" borderId="65" applyAlignment="1" pivotButton="0" quotePrefix="0" xfId="0">
      <alignment horizontal="right" vertical="center" wrapText="1"/>
    </xf>
    <xf numFmtId="49" fontId="1" fillId="15" borderId="85" applyAlignment="1" pivotButton="0" quotePrefix="0" xfId="0">
      <alignment horizontal="left" vertical="center" wrapText="1"/>
    </xf>
    <xf numFmtId="4" fontId="1" fillId="15" borderId="1" applyAlignment="1" pivotButton="0" quotePrefix="0" xfId="0">
      <alignment horizontal="left" vertical="center" wrapText="1"/>
    </xf>
    <xf numFmtId="4" fontId="1" fillId="15" borderId="86" applyAlignment="1" pivotButton="0" quotePrefix="0" xfId="0">
      <alignment horizontal="right" vertical="center" wrapText="1"/>
    </xf>
    <xf numFmtId="0" fontId="2" fillId="15" borderId="87" applyAlignment="1" pivotButton="0" quotePrefix="0" xfId="0">
      <alignment horizontal="left" vertical="center" wrapText="1"/>
    </xf>
    <xf numFmtId="4" fontId="1" fillId="15" borderId="88" applyAlignment="1" pivotButton="0" quotePrefix="0" xfId="0">
      <alignment horizontal="right" vertical="center" wrapText="1"/>
    </xf>
    <xf numFmtId="0" fontId="2" fillId="0" borderId="0" applyAlignment="1" pivotButton="0" quotePrefix="0" xfId="0">
      <alignment wrapText="1"/>
    </xf>
    <xf numFmtId="0" fontId="2" fillId="0" borderId="89" applyAlignment="1" pivotButton="0" quotePrefix="0" xfId="0">
      <alignment vertical="center" wrapText="1"/>
    </xf>
    <xf numFmtId="49" fontId="2" fillId="0" borderId="73" applyAlignment="1" pivotButton="0" quotePrefix="0" xfId="0">
      <alignment wrapText="1"/>
    </xf>
    <xf numFmtId="4" fontId="2" fillId="0" borderId="73" pivotButton="0" quotePrefix="0" xfId="0"/>
    <xf numFmtId="4" fontId="2" fillId="0" borderId="75" applyAlignment="1" pivotButton="0" quotePrefix="0" xfId="0">
      <alignment horizontal="right" wrapText="1"/>
    </xf>
    <xf numFmtId="4" fontId="2" fillId="0" borderId="72" applyAlignment="1" pivotButton="0" quotePrefix="0" xfId="0">
      <alignment horizontal="right" wrapText="1"/>
    </xf>
    <xf numFmtId="49" fontId="2" fillId="0" borderId="73" applyAlignment="1" pivotButton="0" quotePrefix="0" xfId="0">
      <alignment horizontal="left" vertical="center" wrapText="1"/>
    </xf>
    <xf numFmtId="49" fontId="1" fillId="15" borderId="90" applyAlignment="1" pivotButton="0" quotePrefix="0" xfId="0">
      <alignment horizontal="left" vertical="center" wrapText="1"/>
    </xf>
    <xf numFmtId="4" fontId="1" fillId="15" borderId="1" applyAlignment="1" pivotButton="0" quotePrefix="0" xfId="0">
      <alignment horizontal="right" vertical="center" wrapText="1"/>
    </xf>
    <xf numFmtId="0" fontId="2" fillId="0" borderId="70" applyAlignment="1" pivotButton="0" quotePrefix="0" xfId="0">
      <alignment vertical="center" wrapText="1"/>
    </xf>
    <xf numFmtId="0" fontId="15" fillId="15" borderId="91" applyAlignment="1" pivotButton="0" quotePrefix="0" xfId="0">
      <alignment horizontal="right" vertical="center"/>
    </xf>
    <xf numFmtId="49" fontId="15" fillId="15" borderId="92" applyAlignment="1" pivotButton="0" quotePrefix="0" xfId="0">
      <alignment horizontal="left" vertical="center"/>
    </xf>
    <xf numFmtId="4" fontId="15" fillId="15" borderId="92" applyAlignment="1" pivotButton="0" quotePrefix="0" xfId="0">
      <alignment horizontal="right" vertical="center"/>
    </xf>
    <xf numFmtId="0" fontId="2" fillId="15" borderId="93" applyAlignment="1" pivotButton="0" quotePrefix="0" xfId="0">
      <alignment horizontal="left" vertical="center" wrapText="1"/>
    </xf>
    <xf numFmtId="4" fontId="1" fillId="15" borderId="92" applyAlignment="1" pivotButton="0" quotePrefix="0" xfId="0">
      <alignment horizontal="right" vertical="center" wrapText="1"/>
    </xf>
    <xf numFmtId="4" fontId="1" fillId="15" borderId="94" applyAlignment="1" pivotButton="0" quotePrefix="0" xfId="0">
      <alignment horizontal="right" vertical="center" wrapText="1"/>
    </xf>
    <xf numFmtId="49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49" fontId="2" fillId="0" borderId="0" pivotButton="0" quotePrefix="0" xfId="0"/>
    <xf numFmtId="4" fontId="2" fillId="0" borderId="0" pivotButton="0" quotePrefix="0" xfId="0"/>
    <xf numFmtId="0" fontId="17" fillId="0" borderId="0" pivotButton="0" quotePrefix="0" xfId="0"/>
    <xf numFmtId="49" fontId="10" fillId="0" borderId="0" applyAlignment="1" pivotButton="0" quotePrefix="0" xfId="0">
      <alignment vertical="center" wrapText="1"/>
    </xf>
    <xf numFmtId="4" fontId="2" fillId="0" borderId="59" applyAlignment="1" pivotButton="0" quotePrefix="0" xfId="0">
      <alignment horizontal="right" vertical="center"/>
    </xf>
    <xf numFmtId="0" fontId="2" fillId="0" borderId="62" applyAlignment="1" pivotButton="0" quotePrefix="0" xfId="0">
      <alignment horizontal="left" vertical="center" wrapText="1"/>
    </xf>
    <xf numFmtId="4" fontId="2" fillId="0" borderId="63" applyAlignment="1" pivotButton="0" quotePrefix="0" xfId="0">
      <alignment horizontal="right" vertical="center" wrapText="1"/>
    </xf>
    <xf numFmtId="4" fontId="2" fillId="0" borderId="59" applyAlignment="1" pivotButton="0" quotePrefix="0" xfId="0">
      <alignment horizontal="right" vertical="center" wrapText="1"/>
    </xf>
    <xf numFmtId="4" fontId="2" fillId="0" borderId="64" applyAlignment="1" pivotButton="0" quotePrefix="0" xfId="0">
      <alignment horizontal="right" vertical="center" wrapText="1"/>
    </xf>
    <xf numFmtId="4" fontId="1" fillId="15" borderId="67" applyAlignment="1" pivotButton="0" quotePrefix="0" xfId="0">
      <alignment horizontal="right" vertical="center" wrapText="1"/>
    </xf>
    <xf numFmtId="4" fontId="1" fillId="15" borderId="69" applyAlignment="1" pivotButton="0" quotePrefix="0" xfId="0">
      <alignment horizontal="right" vertical="center" wrapText="1"/>
    </xf>
    <xf numFmtId="49" fontId="2" fillId="0" borderId="72" applyAlignment="1" pivotButton="0" quotePrefix="0" xfId="0">
      <alignment wrapText="1"/>
    </xf>
    <xf numFmtId="4" fontId="2" fillId="0" borderId="72" pivotButton="0" quotePrefix="0" xfId="0"/>
    <xf numFmtId="49" fontId="2" fillId="0" borderId="59" applyAlignment="1" pivotButton="0" quotePrefix="0" xfId="0">
      <alignment horizontal="left" vertical="center" wrapText="1"/>
    </xf>
    <xf numFmtId="49" fontId="2" fillId="0" borderId="72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3" borderId="98" applyAlignment="1" pivotButton="0" quotePrefix="0" xfId="0">
      <alignment horizontal="left" vertical="top" wrapText="1"/>
    </xf>
    <xf numFmtId="0" fontId="0" fillId="0" borderId="4" pivotButton="0" quotePrefix="0" xfId="0"/>
    <xf numFmtId="0" fontId="2" fillId="3" borderId="32" applyAlignment="1" pivotButton="0" quotePrefix="0" xfId="0">
      <alignment horizontal="left" vertical="top" wrapText="1"/>
    </xf>
    <xf numFmtId="0" fontId="0" fillId="0" borderId="105" pivotButton="0" quotePrefix="0" xfId="0"/>
    <xf numFmtId="0" fontId="2" fillId="3" borderId="106" applyAlignment="1" pivotButton="0" quotePrefix="0" xfId="0">
      <alignment vertical="top"/>
    </xf>
    <xf numFmtId="0" fontId="0" fillId="0" borderId="104" pivotButton="0" quotePrefix="0" xfId="0"/>
    <xf numFmtId="0" fontId="1" fillId="3" borderId="50" applyAlignment="1" pivotButton="0" quotePrefix="0" xfId="0">
      <alignment vertical="top" wrapText="1"/>
    </xf>
    <xf numFmtId="0" fontId="2" fillId="3" borderId="98" applyAlignment="1" pivotButton="0" quotePrefix="0" xfId="0">
      <alignment vertical="top"/>
    </xf>
    <xf numFmtId="0" fontId="0" fillId="0" borderId="11" pivotButton="0" quotePrefix="0" xfId="0"/>
    <xf numFmtId="0" fontId="2" fillId="3" borderId="53" applyAlignment="1" pivotButton="0" quotePrefix="0" xfId="0">
      <alignment vertical="top" wrapText="1"/>
    </xf>
    <xf numFmtId="0" fontId="0" fillId="0" borderId="15" pivotButton="0" quotePrefix="0" xfId="0"/>
    <xf numFmtId="0" fontId="1" fillId="3" borderId="50" applyAlignment="1" pivotButton="0" quotePrefix="0" xfId="0">
      <alignment vertical="top"/>
    </xf>
    <xf numFmtId="0" fontId="2" fillId="3" borderId="53" applyAlignment="1" pivotButton="0" quotePrefix="0" xfId="0">
      <alignment vertical="top"/>
    </xf>
    <xf numFmtId="0" fontId="2" fillId="3" borderId="53" applyAlignment="1" pivotButton="0" quotePrefix="0" xfId="0">
      <alignment horizontal="left" vertical="top" wrapText="1"/>
    </xf>
    <xf numFmtId="0" fontId="1" fillId="3" borderId="34" applyAlignment="1" pivotButton="0" quotePrefix="0" xfId="0">
      <alignment vertical="top" wrapText="1"/>
    </xf>
    <xf numFmtId="0" fontId="2" fillId="3" borderId="32" applyAlignment="1" pivotButton="0" quotePrefix="0" xfId="0">
      <alignment vertical="top"/>
    </xf>
    <xf numFmtId="0" fontId="1" fillId="3" borderId="109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5" fillId="3" borderId="32" applyAlignment="1" pivotButton="0" quotePrefix="0" xfId="0">
      <alignment vertical="top" wrapText="1"/>
    </xf>
    <xf numFmtId="0" fontId="2" fillId="3" borderId="12" applyAlignment="1" pivotButton="0" quotePrefix="0" xfId="0">
      <alignment horizontal="left" vertical="top" wrapText="1"/>
    </xf>
    <xf numFmtId="0" fontId="2" fillId="3" borderId="12" applyAlignment="1" pivotButton="0" quotePrefix="0" xfId="0">
      <alignment vertical="top" wrapText="1"/>
    </xf>
    <xf numFmtId="0" fontId="2" fillId="3" borderId="106" applyAlignment="1" pivotButton="0" quotePrefix="0" xfId="0">
      <alignment vertical="top" wrapText="1"/>
    </xf>
    <xf numFmtId="0" fontId="2" fillId="3" borderId="25" applyAlignment="1" pivotButton="0" quotePrefix="0" xfId="0">
      <alignment vertical="top" wrapText="1"/>
    </xf>
    <xf numFmtId="0" fontId="0" fillId="0" borderId="26" pivotButton="0" quotePrefix="0" xfId="0"/>
    <xf numFmtId="0" fontId="1" fillId="4" borderId="111" applyAlignment="1" pivotButton="0" quotePrefix="0" xfId="0">
      <alignment vertical="top"/>
    </xf>
    <xf numFmtId="0" fontId="0" fillId="0" borderId="28" pivotButton="0" quotePrefix="0" xfId="0"/>
    <xf numFmtId="0" fontId="2" fillId="5" borderId="25" applyAlignment="1" pivotButton="0" quotePrefix="0" xfId="0">
      <alignment horizontal="left" vertical="top" wrapText="1"/>
    </xf>
    <xf numFmtId="0" fontId="2" fillId="5" borderId="12" applyAlignment="1" pivotButton="0" quotePrefix="0" xfId="0">
      <alignment horizontal="left" vertical="top" wrapText="1"/>
    </xf>
    <xf numFmtId="0" fontId="2" fillId="5" borderId="29" applyAlignment="1" pivotButton="0" quotePrefix="0" xfId="0">
      <alignment horizontal="left" vertical="top" wrapText="1"/>
    </xf>
    <xf numFmtId="0" fontId="2" fillId="5" borderId="30" applyAlignment="1" pivotButton="0" quotePrefix="0" xfId="0">
      <alignment horizontal="left" vertical="top" wrapText="1"/>
    </xf>
    <xf numFmtId="0" fontId="2" fillId="5" borderId="31" applyAlignment="1" pivotButton="0" quotePrefix="0" xfId="0">
      <alignment horizontal="left" vertical="top" wrapText="1"/>
    </xf>
    <xf numFmtId="0" fontId="2" fillId="5" borderId="32" applyAlignment="1" pivotButton="0" quotePrefix="0" xfId="0">
      <alignment horizontal="left" vertical="top" wrapText="1"/>
    </xf>
    <xf numFmtId="0" fontId="1" fillId="5" borderId="25" applyAlignment="1" pivotButton="0" quotePrefix="0" xfId="0">
      <alignment horizontal="left" vertical="top" wrapText="1"/>
    </xf>
    <xf numFmtId="0" fontId="1" fillId="4" borderId="68" applyAlignment="1" pivotButton="0" quotePrefix="0" xfId="0">
      <alignment vertical="top" wrapText="1"/>
    </xf>
    <xf numFmtId="0" fontId="2" fillId="5" borderId="87" applyAlignment="1" pivotButton="0" quotePrefix="0" xfId="0">
      <alignment horizontal="left" vertical="top" wrapText="1"/>
    </xf>
    <xf numFmtId="0" fontId="1" fillId="6" borderId="112" applyAlignment="1" pivotButton="0" quotePrefix="0" xfId="0">
      <alignment vertical="top"/>
    </xf>
    <xf numFmtId="0" fontId="0" fillId="0" borderId="37" pivotButton="0" quotePrefix="0" xfId="0"/>
    <xf numFmtId="0" fontId="0" fillId="0" borderId="38" pivotButton="0" quotePrefix="0" xfId="0"/>
    <xf numFmtId="0" fontId="2" fillId="7" borderId="32" applyAlignment="1" pivotButton="0" quotePrefix="0" xfId="0">
      <alignment horizontal="left" vertical="top" wrapText="1"/>
    </xf>
    <xf numFmtId="0" fontId="2" fillId="7" borderId="30" applyAlignment="1" pivotButton="0" quotePrefix="0" xfId="0">
      <alignment horizontal="left" vertical="top" wrapText="1"/>
    </xf>
    <xf numFmtId="0" fontId="0" fillId="0" borderId="102" pivotButton="0" quotePrefix="0" xfId="0"/>
    <xf numFmtId="0" fontId="1" fillId="6" borderId="103" applyAlignment="1" pivotButton="0" quotePrefix="0" xfId="0">
      <alignment vertical="top"/>
    </xf>
    <xf numFmtId="0" fontId="0" fillId="0" borderId="42" pivotButton="0" quotePrefix="0" xfId="0"/>
    <xf numFmtId="0" fontId="0" fillId="0" borderId="43" pivotButton="0" quotePrefix="0" xfId="0"/>
    <xf numFmtId="0" fontId="1" fillId="7" borderId="32" applyAlignment="1" pivotButton="0" quotePrefix="0" xfId="0">
      <alignment horizontal="left" vertical="top" wrapText="1"/>
    </xf>
    <xf numFmtId="0" fontId="1" fillId="7" borderId="12" applyAlignment="1" pivotButton="0" quotePrefix="0" xfId="0">
      <alignment horizontal="left" vertical="top" wrapText="1"/>
    </xf>
    <xf numFmtId="0" fontId="1" fillId="8" borderId="112" applyAlignment="1" pivotButton="0" quotePrefix="0" xfId="0">
      <alignment vertical="top" wrapText="1"/>
    </xf>
    <xf numFmtId="0" fontId="2" fillId="9" borderId="32" applyAlignment="1" pivotButton="0" quotePrefix="0" xfId="0">
      <alignment horizontal="left" vertical="top" wrapText="1"/>
    </xf>
    <xf numFmtId="0" fontId="2" fillId="9" borderId="12" applyAlignment="1" pivotButton="0" quotePrefix="0" xfId="0">
      <alignment horizontal="left" vertical="top" wrapText="1"/>
    </xf>
    <xf numFmtId="0" fontId="2" fillId="9" borderId="30" applyAlignment="1" pivotButton="0" quotePrefix="0" xfId="0">
      <alignment horizontal="left" vertical="top" wrapText="1"/>
    </xf>
    <xf numFmtId="0" fontId="1" fillId="8" borderId="103" applyAlignment="1" pivotButton="0" quotePrefix="0" xfId="0">
      <alignment vertical="top"/>
    </xf>
    <xf numFmtId="0" fontId="2" fillId="9" borderId="21" applyAlignment="1" pivotButton="0" quotePrefix="0" xfId="0">
      <alignment horizontal="left" vertical="top" wrapText="1"/>
    </xf>
    <xf numFmtId="0" fontId="0" fillId="0" borderId="46" pivotButton="0" quotePrefix="0" xfId="0"/>
    <xf numFmtId="0" fontId="1" fillId="10" borderId="95" applyAlignment="1" pivotButton="0" quotePrefix="0" xfId="0">
      <alignment horizontal="left" vertical="top"/>
    </xf>
    <xf numFmtId="0" fontId="0" fillId="0" borderId="96" pivotButton="0" quotePrefix="0" xfId="0"/>
    <xf numFmtId="0" fontId="0" fillId="0" borderId="97" pivotButton="0" quotePrefix="0" xfId="0"/>
    <xf numFmtId="164" fontId="2" fillId="11" borderId="98" applyAlignment="1" pivotButton="0" quotePrefix="0" xfId="0">
      <alignment vertical="top"/>
    </xf>
    <xf numFmtId="164" fontId="2" fillId="11" borderId="53" applyAlignment="1" pivotButton="0" quotePrefix="0" xfId="0">
      <alignment vertical="top"/>
    </xf>
    <xf numFmtId="49" fontId="12" fillId="14" borderId="113" applyAlignment="1" pivotButton="0" quotePrefix="0" xfId="0">
      <alignment horizontal="center" vertical="center"/>
    </xf>
    <xf numFmtId="0" fontId="13" fillId="14" borderId="114" applyAlignment="1" pivotButton="0" quotePrefix="0" xfId="0">
      <alignment horizontal="center" vertical="center"/>
    </xf>
    <xf numFmtId="0" fontId="0" fillId="0" borderId="115" pivotButton="0" quotePrefix="0" xfId="0"/>
    <xf numFmtId="0" fontId="2" fillId="3" borderId="106" applyAlignment="1" pivotButton="0" quotePrefix="0" xfId="0">
      <alignment horizontal="left" vertical="top" wrapText="1"/>
    </xf>
    <xf numFmtId="0" fontId="5" fillId="3" borderId="32" applyAlignment="1" pivotButton="0" quotePrefix="0" xfId="0">
      <alignment horizontal="left" vertical="top" wrapText="1"/>
    </xf>
    <xf numFmtId="0" fontId="2" fillId="3" borderId="25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jvtp.cz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C27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60.25" customWidth="1" style="199" min="1" max="1"/>
    <col width="37.38" customWidth="1" style="199" min="2" max="2"/>
    <col width="37.88" customWidth="1" style="199" min="3" max="3"/>
    <col width="11.13" customWidth="1" style="199" min="4" max="26"/>
  </cols>
  <sheetData>
    <row r="1" ht="15.75" customHeight="1" s="199">
      <c r="A1" s="1" t="inlineStr">
        <is>
          <t>ZÁKLADNÍ INFORMACE O PROJEKTU</t>
        </is>
      </c>
      <c r="B1" s="2" t="n">
        <v>2027</v>
      </c>
      <c r="C1" s="2" t="n">
        <v>2028</v>
      </c>
    </row>
    <row r="2" ht="20.25" customHeight="1" s="199">
      <c r="A2" s="3" t="inlineStr">
        <is>
          <t>Název projektu CZ</t>
        </is>
      </c>
      <c r="B2" s="200" t="inlineStr">
        <is>
          <t>Make &amp; Design Lab</t>
        </is>
      </c>
      <c r="C2" s="201" t="n"/>
    </row>
    <row r="3" ht="20.25" customHeight="1" s="199">
      <c r="A3" s="6" t="inlineStr">
        <is>
          <t>Název projektu AJ</t>
        </is>
      </c>
      <c r="B3" s="202" t="inlineStr">
        <is>
          <t>Make &amp; Design Lab</t>
        </is>
      </c>
      <c r="C3" s="203" t="n"/>
    </row>
    <row r="4" ht="15.75" customHeight="1" s="199">
      <c r="A4" s="6" t="inlineStr">
        <is>
          <t>Žánr/y</t>
        </is>
      </c>
      <c r="B4" s="262" t="inlineStr">
        <is>
          <t>[NÁVRH k potvrzení] Primární: současný design a móda (produktový/průmyslový design — „Design jako proces" JVTP); tradice, řemesla a kulturní dědictví (řemeslná tvorba, repair café, maker). Sekundární: audiovizuální / multimediální / digitální umění (3D tisk, laser, CNC, imerzivní/interaktivní obsah). Doplňkově: architektura (prostorové intervence, exponáty).</t>
        </is>
      </c>
      <c r="C4" s="205" t="n"/>
    </row>
    <row r="5" ht="15.75" customHeight="1" s="199">
      <c r="A5" s="206" t="inlineStr">
        <is>
          <t>Hlavní realizátor projektu (organizace)</t>
        </is>
      </c>
      <c r="B5" s="207" t="inlineStr">
        <is>
          <t xml:space="preserve">Jihočeský vědeckotechnický park, a.s. (v úzkém partnerství s Make more s.r.o.) </t>
        </is>
      </c>
      <c r="C5" s="201" t="n"/>
    </row>
    <row r="6" ht="15.75" customHeight="1" s="199">
      <c r="A6" s="208" t="n"/>
      <c r="B6" s="20" t="inlineStr">
        <is>
          <t>IČO: 28080581</t>
        </is>
      </c>
      <c r="C6" s="15" t="inlineStr">
        <is>
          <t xml:space="preserve">web: www.jvtp.cz </t>
        </is>
      </c>
    </row>
    <row r="7">
      <c r="A7" s="21" t="inlineStr">
        <is>
          <t>Představení hlavního realizátora projektu:
- profil žadatele
- historie žadatele
- představení nejvýznamějších projektů/aktivit žadatele</t>
        </is>
      </c>
      <c r="B7" s="209" t="inlineStr">
        <is>
          <t>Jihočeský vědeckotechnický park, a.s. (JVTP) je regionální inovační centrum, které propojuje podnikání, výzkum, vzdělávání a kulturní a kreativní odvětví. Dlouhodobě vytváří prostředí pro vznik nových nápadů, podporuje inovativní podnikání a rozvíjí spolupráci mezi firmami, designéry, výzkumnými organizacemi, veřejnou správou i neziskovým sektorem. V posledních letech se významně podílí na rozvoji kulturních a kreativních odvětví v Jihočeském kraji a podporuje využití designu, kreativity a mezioborové spolupráce jako nástroje pro vznik inovací a vyšší přidané hodnoty.
Mezi stěžejní aktivity JVTP patří realizace inkubačních a akceleračních programů pro startupy, soutěž podnikatelských nápadů Jihoczech, podpora transferu znalostí a komercializace výzkumu i realizace mezinárodních projektů zaměřených na inovace a přeshraniční spolupráci. JVTP je rovněž iniciátorem Koncepce rozvoje kulturních a kreativních odvětví Jihočeského kraje, která usiluje o systematické propojení kreativity, designu, podnikání a veřejného prostoru. V navrhovaném projektu bude garantovat program zaměřený na současný design, propojení kreativních startupů s firmami a popularizaci designu jako nástroje inovací.
JVTP současně provozuje tvůrčí a testovací prostory zaměřené na nové technologie, digitální výrobu a experimentální vývoj. Tyto prostory slouží jako otevřená platforma pro ověřování nových materiálů, výrobních postupů a kreativních přístupů na pomezí designu, umění a technologií. V rámci projektu bude JVTP spolupracovat s rakouskou Laboratory for Creative Robotics při Univerzitě umění a designu v Linci (University of Arts Linz), která představí současné trendy v oblasti kreativní robotiky, digitální výroby a experimentálního designu.
Klíčovým a nedílním partnerem JVTP je v předkládaném projektu organizace Make more s.r.o. zaměřená na rozvoj makerské kultury, kreativity a technického vzdělávání prostřednictvím praktického tvoření. V projektu bude realizovat koncept Pop-up FabLab – mobilní tvůrčí laboratoř, která přinese digitální výrobu, řemeslo a experimentování přímo do škol, kulturních institucí i veřejného prostoru. Ve spolupráci s rakouským partnerem Grand Garage Linz nabídne dětem, mladým lidem i celým rodinám možnost objevovat nové technologie, rozvíjet tvořivost a získávat praktické zkušenosti metodou learning by doing. Pop-up FabLab se stane vstupní branou do světa kreativity, designu a inovací a přirozeně propojí vzdělávání, kulturu a podnikavost.</t>
        </is>
      </c>
      <c r="C7" s="210" t="n"/>
    </row>
    <row r="8" ht="15.75" customHeight="1" s="199">
      <c r="A8" s="211" t="inlineStr">
        <is>
          <t>Hlavní zahraniční partner</t>
        </is>
      </c>
      <c r="B8" s="207" t="n"/>
      <c r="C8" s="201" t="n"/>
    </row>
    <row r="9" ht="15.75" customHeight="1" s="199">
      <c r="A9" s="208" t="n"/>
      <c r="B9" s="20" t="inlineStr">
        <is>
          <t>tel:</t>
        </is>
      </c>
      <c r="C9" s="20" t="inlineStr">
        <is>
          <t>web:</t>
        </is>
      </c>
    </row>
    <row r="10" ht="15.75" customHeight="1" s="199">
      <c r="A10" s="21" t="inlineStr">
        <is>
          <t>Představení hlavního zahraničního partnera projektu
- profil partnera
- historie partnera
- představení nejvýznamějších projektů/aktivit partnera</t>
        </is>
      </c>
      <c r="B10" s="212" t="n"/>
      <c r="C10" s="210" t="n"/>
    </row>
    <row r="11" ht="15.75" customHeight="1" s="199">
      <c r="A11" s="206" t="inlineStr">
        <is>
          <t>Hlavní jihočeský partner (pro žadatele se sídlem nebo pobočkou mimo Jihočeský kraj)</t>
        </is>
      </c>
      <c r="B11" s="207" t="n"/>
      <c r="C11" s="201" t="n"/>
    </row>
    <row r="12" ht="15.75" customHeight="1" s="199">
      <c r="A12" s="208" t="n"/>
      <c r="B12" s="20" t="inlineStr">
        <is>
          <t>tel:</t>
        </is>
      </c>
      <c r="C12" s="20" t="inlineStr">
        <is>
          <t>web:</t>
        </is>
      </c>
    </row>
    <row r="13" ht="15.75" customHeight="1" s="199">
      <c r="A13" s="21" t="inlineStr">
        <is>
          <t>Představení hlavního jihočeského partnera projektu
- profil partnera
- historie partnera
- představení nejvýznamějších projektů/aktivit partnera</t>
        </is>
      </c>
      <c r="B13" s="212" t="n"/>
      <c r="C13" s="210" t="n"/>
    </row>
    <row r="14" ht="41.25" customHeight="1" s="199">
      <c r="A14" s="21" t="inlineStr">
        <is>
          <t>Představení dalších realizačních partnerů projektu</t>
        </is>
      </c>
      <c r="B14" s="213" t="inlineStr">
        <is>
          <t>Make more s.r.o. — hlavní realizační partner projektu: provoz maker dílen, školní a komunitní vzdělávací programy, zapůjčení vybavení. Zapojení 2027–2028.</t>
        </is>
      </c>
      <c r="C14" s="210" t="n"/>
    </row>
    <row r="15" ht="15.75" customHeight="1" s="199">
      <c r="A15" s="214" t="inlineStr">
        <is>
          <t>Realizační tým: obsahový garant/ka projektu (např.: umělecký ředitel, dramaturg, kurátor)</t>
        </is>
      </c>
      <c r="B15" s="215" t="n"/>
      <c r="C15" s="203" t="n"/>
    </row>
    <row r="16" ht="15.75" customHeight="1" s="199">
      <c r="A16" s="208" t="n"/>
      <c r="B16" s="20" t="inlineStr">
        <is>
          <t>tel:</t>
        </is>
      </c>
      <c r="C16" s="20" t="inlineStr">
        <is>
          <t>mail:</t>
        </is>
      </c>
    </row>
    <row r="17" ht="15.75" customHeight="1" s="199">
      <c r="A17" s="216" t="inlineStr">
        <is>
          <t>Realizační tým: realizační garant/ka projektu (projektový manažer/ka)</t>
        </is>
      </c>
      <c r="B17" s="20" t="n"/>
      <c r="C17" s="217" t="n"/>
    </row>
    <row r="18" ht="15.75" customHeight="1" s="199">
      <c r="A18" s="218" t="n"/>
      <c r="B18" s="28" t="inlineStr">
        <is>
          <t>tel:</t>
        </is>
      </c>
      <c r="C18" s="28" t="inlineStr">
        <is>
          <t>mail:</t>
        </is>
      </c>
    </row>
    <row r="19" ht="34.5" customHeight="1" s="199">
      <c r="A19" s="29" t="inlineStr">
        <is>
          <t>Popis projektu jednou větou</t>
        </is>
      </c>
      <c r="B19" s="263" t="inlineStr">
        <is>
          <t>Make &amp; Design Lab je pilotní komunitní centrum tvorby v Českých Budějovicích, kde se v roce 2028 nad digitální výrobou, řemeslem a designem potkávají školy, veřejnost, designéři a firmy — a kde současně vzniká ověřený, trvale udržitelný model kreativní infrastruktury pro Jihočeský kraj.</t>
        </is>
      </c>
      <c r="C19" s="203" t="n"/>
    </row>
    <row r="20" ht="409.5" customHeight="1" s="199">
      <c r="A20" s="31" t="inlineStr">
        <is>
          <t xml:space="preserve">Podrobný popis projektu
(anotace projektu - cca 3600 znaků)
návodné otázky:
→ V čem je projekt jedinečný?
→ Jak naplňuje záměr otevřené výzvy?
→ Jaký přinese projekt zážitek pro veřejnost v roce 2028?
→ Jaký je současný stav v oblasti, kterou chcete projektem ovlivnit?
→ Jaké dopady bude mít realizace projektu?
→ Jak budete při realizaci postupovat?
</t>
        </is>
      </c>
      <c r="B20" s="220" t="inlineStr">
        <is>
          <t>V Jihočeském kraji chybí místo, kde se mohou setkávat tvůrci, řemeslníci, designéři, studenti i firmy — sdílet zázemí, vybavení a inspiraci. Chybí obdoba science centra nebo interaktivního muzea technologií, kde si děti a mladí mohou technologie a řemesla skutečně vyzkoušet. EHMK České Budějovice 2028 je jedinečná příležitost tento prostor vytvořit: přináší viditelnost, financování a síť partnerů.
Projekt Make &amp; Design Lab otevře v roce 2028 pilotní provoz komunitního centra tvorby — fyzický prostor vybavený nástroji pro digitální výrobu, řemeslo i design. Centrum bude členěno do tematických labů: JVTP garantuje Design Lab zaměřený na průmyslový a produktový design jako proces — výstavní linie obnažující myšlenkové postupy za výrobky. Make more zajišťuje provoz maker dílen a vzdělávací programy.
Provozní rytmus: dopoledne školní třídy (program ~90 min, tematické laby: digitální výroba, řemeslo, design, technologie), odpoledne a večery veřejnost a kreativci (repair café, otevřené dílny, přednášky), víkendy komunitní akce. Školní třídy tvoří stabilní, opakující se klientelu s jasnou vzdělávací potřebou — nejsilnější argument pro dlouhodobou udržitelnost.
Projekt vědomě pracuje s (Perma)kulturou ve všech třech rovinách: v PROCESU — participativní budování komunity od roku 2027, zapojení místních aktérů, škol a evropských partnerů; v OBSAHU — propojení designu, technologií a řemesel reflektuje vztah člověka k místu a současné výzvy tvorby; v DOPADU — po projektu zůstane městu ověřený provozní model, vybudovaná komunita a infrastruktura pro trvalé centrum tvorby.
Rok 2027 slouží přípravě: mapování komunity, budování sítě partnerů, příprava programu a kurikula (návaznost na EHMK „Kreativní mysl 0–6" a programy ZŠ/SŠ), technická příprava prostoru, studijní návštěva zahraničního partnera. Rok 2028 je pilotní provoz s cílem ověřit model a vyjednat podmínky pro trvalý provoz po skončení EHMK.
Záměrně pracujeme s širokým záběrem: neomezujeme se na jedno odvětví, protože právě pestrost buduje kritickou masu komunity (poučení z Makerspace Plzeň / Depo 2015). Výsledkem nebude jen kulturní událost, ale funkční centrum tvorby s vyjednaným institucionálním zakotvením — přesně ten typ legacy, který EHMK hledá.</t>
        </is>
      </c>
      <c r="C20" s="217" t="n"/>
    </row>
    <row r="21" ht="69" customHeight="1" s="199">
      <c r="A21" s="33" t="inlineStr">
        <is>
          <t>Jak může projekt pomoct rozvinout vaši organizaci, jak navazuje na její dlouhodobé směřování</t>
        </is>
      </c>
      <c r="B21" s="221" t="n"/>
      <c r="C21" s="217" t="n"/>
    </row>
    <row r="22" ht="85.5" customHeight="1" s="199">
      <c r="A22" s="34" t="inlineStr">
        <is>
          <t>Přínos zahraničního partnera pro projekt</t>
        </is>
      </c>
      <c r="B22" s="262" t="inlineStr">
        <is>
          <t>Zahraniční partnerství stojí na dvou linzských aktérech: Grand Garage (jedna z největších otevřených maker dílen ve střední Evropě, Tabakfabrik Linz) a Kunstuniversität Linz — Creative Robotics. Linec je etablované evropské centrum mediálního a kreativně-technologického umění.
• Přenos ověřeného know-how: provozně-komunitní model otevřené dílny (správa sdíleného vybavení, bezpečnostní režim, členský a lektorský model, dramaturgie komunitních formátů).
• 2027 (mentoři/příprava): studijní cesta týmu do Linze, konzultace kurikula, provozního modelu a vybavení, společné plánování programu.
• 2028 (hosté/realizace): přednášky, workshopy a krátkodobé rezidence zahraničních makerů a designérů, společné formáty (design sprinty, výzvy), akademický vhled Creative Robotics.
• Evropská dimenze a viditelnost; základ pro společné žádosti do EU fondů (Creative Europe, Interreg Rakousko–ČR).
[DOPLNIT po LoI: rozsah zapojení, počet mentorských/hostujících dnů, jména osob, potvrzené aktivity.]</t>
        </is>
      </c>
      <c r="C22" s="205" t="n"/>
    </row>
    <row r="23" ht="85.5" customHeight="1" s="199">
      <c r="A23" s="36" t="inlineStr">
        <is>
          <t>Přínos regionálního partnera pro projekt</t>
        </is>
      </c>
      <c r="B23" s="264" t="inlineStr">
        <is>
          <t>Novák Design ukotvuje projekt v regionální designové praxi a propojuje jej s reálnou tvorbou produktového/průmyslového designu.
• Obsahové zapojení do výstavy „Design jako proces": zapůjčení a prezentace exponátů a výstupů (doprava exponátů — [DOPLNIT náklady, upřesňuje Jana]).
• Mentoring a reálná zadání: vedení design sprintů a workshopů, zadání pro komunitní soutěže a školní/veřejný program.
• Lokální kreativní ekonomika: propojení centra s regionálními designéry a firmami, udržitelnost po EHMK.
Pozn.: povinný jihočeský partner je splněn samotným žadatelem (JVTP je z JčK); Novák Design je dobrovolný regionální partner navíc.
[DOPLNIT po LoI: konkrétní aktivity, rozsah a termíny zapojení, jména osob.]</t>
        </is>
      </c>
      <c r="C23" s="224" t="n"/>
    </row>
    <row r="24" ht="20.25" customHeight="1" s="199">
      <c r="A24" s="225" t="inlineStr">
        <is>
          <t>Hlavní cíle projektu pro daný rok (popište metodou SMART)</t>
        </is>
      </c>
      <c r="B24" s="226" t="n"/>
      <c r="C24" s="217" t="n"/>
    </row>
    <row r="25" ht="37.5" customHeight="1" s="199">
      <c r="A25" s="40" t="inlineStr">
        <is>
          <t>cíl 1</t>
        </is>
      </c>
      <c r="B25" s="227" t="inlineStr">
        <is>
          <t>Do 12/2027 zmapovat min. 50 aktivních tvůrců/organizací v JčK a uspořádat 3 networkingová setkání s celkovou účastí min. 100 osob. Výstup: databáze komunity, ověřená poptávka.</t>
        </is>
      </c>
      <c r="C25" s="228" t="inlineStr">
        <is>
          <t>Do 12/2028 provozovat centrum min. 10 měsíců s min. 200 realizovanými školními programy (~5 000 návštěv žáků) a min. 40 veřejnými akcemi (~800 návštěv veřejnosti).</t>
        </is>
      </c>
    </row>
    <row r="26" ht="32.25" customHeight="1" s="199">
      <c r="A26" s="40" t="inlineStr">
        <is>
          <t>cíl 2</t>
        </is>
      </c>
      <c r="B26" s="227" t="inlineStr">
        <is>
          <t>Do 12/2027 připravit kompletní kurikulum školních programů (min. 5 tematických modulů) a otestovat 2 pilotní workshopy s min. 20 účastníky. Výstup: metodika, zpětná vazba.</t>
        </is>
      </c>
      <c r="C26" s="228" t="inlineStr">
        <is>
          <t>Do 12/2028 uspořádat min. 2 komunitní soutěže/výzvy (červen + prosinec) s min. 30 přihlášenými projekty a prezentací výstupů veřejnosti.</t>
        </is>
      </c>
    </row>
    <row r="27" ht="32.25" customHeight="1" s="199">
      <c r="A27" s="40" t="inlineStr">
        <is>
          <t>cíl 3 (případně přidejte řádky)</t>
        </is>
      </c>
      <c r="B27" s="229" t="inlineStr">
        <is>
          <t>Do 12/2027 zajistit prostor pro provoz centra v ČB, připravit technické zázemí a uzavřít smlouvy s min. 2 partnerskými institucemi.</t>
        </is>
      </c>
      <c r="C27" s="230" t="inlineStr">
        <is>
          <t>Do 12/2028 vyjednat podmínky trvalého provozu centra po EHMK — memorandum o pokračování s vlastníkem prostoru a min. 1 institucionálním partnerem.</t>
        </is>
      </c>
    </row>
    <row r="28" ht="20.25" customHeight="1" s="199">
      <c r="A28" s="225" t="inlineStr">
        <is>
          <t>Aktivity dle let</t>
        </is>
      </c>
      <c r="B28" s="226" t="n"/>
      <c r="C28" s="217" t="n"/>
    </row>
    <row r="29" ht="171" customHeight="1" s="199">
      <c r="A29" s="45" t="inlineStr">
        <is>
          <t>Podrobný popis programových aktivit a výstupů
- 2027: podrobný popis přípravných aktivit
- 2028: podrobný popis programových aktivit</t>
        </is>
      </c>
      <c r="B29" s="231" t="inlineStr">
        <is>
          <t>Přípravné aktivity: mapování komunity a budování sítě partnerů (2–3 setkání), příprava školního kurikula, 1. vlna propagační kampaně, studijní cesta k zahraničnímu partnerovi v Linci, stavebně-technická příprava prostoru v ČB.</t>
        </is>
      </c>
      <c r="C29" s="232" t="inlineStr">
        <is>
          <t>Programové aktivity: dopolední školní programy (Po–Čt, 2 třídy/den, 28 týdnů), odpolední/večerní komunitní programy (repair café, otevřená dílna, přednášky), 2 komunitní soutěže (červen, prosinec), stálá výstava Design Lab (JVTP), design sprinty se startupy.</t>
        </is>
      </c>
    </row>
    <row r="30" ht="20.25" customHeight="1" s="199">
      <c r="A30" s="225" t="inlineStr">
        <is>
          <t>Přehled hlavních výstupů</t>
        </is>
      </c>
      <c r="B30" s="226" t="n"/>
      <c r="C30" s="217" t="n"/>
    </row>
    <row r="31" ht="46.5" customHeight="1" s="199">
      <c r="A31" s="48" t="inlineStr">
        <is>
          <t>výstup 1 + místo konání + termín konání + předpokládáná návštěvnost</t>
        </is>
      </c>
      <c r="B31" s="233" t="inlineStr">
        <is>
          <t>Komunitní centrum tvorby Make &amp; Design Lab — pilotní celoroční provoz. Místo: České Budějovice (prostor TBD). Termín: únor–prosinec 2028. Předpokládaná návštěvnost: ~6 400 návštěv (školy + veřejnost).</t>
        </is>
      </c>
      <c r="C31" s="50" t="n"/>
    </row>
    <row r="32" ht="43.5" customHeight="1" s="199">
      <c r="A32" s="48" t="inlineStr">
        <is>
          <t>výstup 2 + místo konání + termín konání + předpokládáná návštěvnost</t>
        </is>
      </c>
      <c r="B32" s="233" t="inlineStr">
        <is>
          <t>Výstava „Design jako proces" (Design Lab JVTP). Místo: České Budějovice. Termín: celoročně 2028. Předpokládaná návštěvnost: [DOPLNIT].</t>
        </is>
      </c>
      <c r="C32" s="50" t="n"/>
    </row>
    <row r="33" ht="43.5" customHeight="1" s="199">
      <c r="A33" s="48" t="inlineStr">
        <is>
          <t>výstup 3 + místo konání + termín konání + předpokládáná návštěvnost</t>
        </is>
      </c>
      <c r="B33" s="233" t="inlineStr">
        <is>
          <t>2 komunitní soutěže/výzvy pro tvůrce. Místo: České Budějovice. Termín: červen + prosinec 2028. Předpokládaná návštěvnost: ~300 návštěvníků.</t>
        </is>
      </c>
      <c r="C33" s="51" t="n"/>
    </row>
    <row r="34" ht="35.25" customHeight="1" s="199">
      <c r="A34" s="40" t="inlineStr">
        <is>
          <t>další výstupy – případně přidejte řádky</t>
        </is>
      </c>
      <c r="B34" s="229" t="inlineStr">
        <is>
          <t>Ověřený provozní model a plán udržitelnosti centra. Místo: České Budějovice. Termín: Q4 2028.</t>
        </is>
      </c>
      <c r="C34" s="44" t="n"/>
    </row>
    <row r="35" ht="20.25" customHeight="1" s="199">
      <c r="A35" s="52" t="inlineStr">
        <is>
          <t>Další obsahové informace k projektu</t>
        </is>
      </c>
      <c r="B35" s="234" t="n"/>
      <c r="C35" s="217" t="n"/>
    </row>
    <row r="36" ht="71.25" customHeight="1" s="199">
      <c r="A36" s="54" t="inlineStr">
        <is>
          <t>Jaké umělce či vystupující plánujete do projektu a realizace zapojit?
- jakým způsobem budou zapojeni?
- jaké výstupy budou vytvářet?</t>
        </is>
      </c>
      <c r="B36" s="235" t="inlineStr">
        <is>
          <t>Maker influenceři (YouTube, online scéna) — vedení workshopů; designéři Jan Čtvrtník, Michal Trpák, David Síla — přednášky, ukázky procesu tvorby; Jiří Velev — architektura; Adam Ur (kacadu.com) — 3D tisk a prototypování. Lektoři Make Edu.</t>
        </is>
      </c>
      <c r="C36" s="203" t="n"/>
    </row>
    <row r="37" ht="71.25" customHeight="1" s="199">
      <c r="A37" s="56" t="inlineStr">
        <is>
          <t>Plánujete mít v projektu vzdělávací vrstvu nebo zapojovat školy? 
Pokud ano, popište stručně jak:</t>
        </is>
      </c>
      <c r="B37" s="232" t="inlineStr">
        <is>
          <t>Ano. Dopolední programy pro ZŠ/SŠ třídy, 90 minut, tematické laby (digitální výroba, řemeslo, design, technologie). Celkem cca 224 tříd (5 000+ žáků) v roce 2028; návaznost na EHMK „Kreativní mysl 0–6" a programy ZŠ/SŠ.</t>
        </is>
      </c>
      <c r="C37" s="203" t="n"/>
    </row>
    <row r="38" ht="71.25" customHeight="1" s="199">
      <c r="A38" s="56" t="inlineStr">
        <is>
          <t>Plánujete zapojit dobrovlníky? 
Pokud ano, popište stručně jak:</t>
        </is>
      </c>
      <c r="B38" s="232" t="inlineStr">
        <is>
          <t>Ano. Asistenti na akcích, lektoři a opraváři (repair café) z místní komunity.</t>
        </is>
      </c>
      <c r="C38" s="203" t="n"/>
    </row>
    <row r="39" ht="71.25" customHeight="1" s="199">
      <c r="A39" s="56" t="inlineStr">
        <is>
          <t>Budou součástí projektu tvůrčí rezidenční pobyty? 
Pokud ano, popište stručně jaké a kdy:</t>
        </is>
      </c>
      <c r="B39" s="232" t="inlineStr">
        <is>
          <t>Ano (zvažujeme). Krátkodobé rezidence (1–2 týdny) zahraničních maker/designérů — přednášky, workshopy; ve spolupráci s partnerem v Linci.</t>
        </is>
      </c>
      <c r="C39" s="203" t="n"/>
    </row>
    <row r="40" ht="71.25" customHeight="1" s="199">
      <c r="A40" s="45" t="inlineStr">
        <is>
          <t>Chce mít projekt vlastní opencall výzvy? Pokud ano, popište stručně jaké a kdy:</t>
        </is>
      </c>
      <c r="B40" s="232" t="inlineStr">
        <is>
          <t>Ano. 2 soutěže ročně (červen, prosinec) s reálným zadáním od firem nebo města.</t>
        </is>
      </c>
      <c r="C40" s="203" t="n"/>
    </row>
    <row r="41" ht="20.25" customHeight="1" s="199">
      <c r="A41" s="236" t="inlineStr">
        <is>
          <t>PRŮŘEZOVÉ HODNOTY A CÍLE ČB 28 – praktická realizace</t>
        </is>
      </c>
      <c r="B41" s="237" t="n"/>
      <c r="C41" s="238" t="n"/>
    </row>
    <row r="42" ht="67.5" customHeight="1" s="199">
      <c r="A42" s="61" t="inlineStr">
        <is>
          <t>Přístupnost: jak zajistíte přístupnost pro všechny sociální skupiny a jaká opatření pro bezbariérovost by váš projekt měl mít?</t>
        </is>
      </c>
      <c r="B42" s="239" t="inlineStr">
        <is>
          <t>Školní programy za symbolické vstupné (150 Kč/dítě), s možností hrazení dopravy z rozpočtu pro školy z periferií JčK. Veřejný program a repair café zdarma. Bezbariérový přízemní industriální prostor, variabilní výška pracovních stolů, informační materiály v jednoduché češtině a angličtině.</t>
        </is>
      </c>
      <c r="C42" s="203" t="n"/>
    </row>
    <row r="43" ht="67.5" customHeight="1" s="199">
      <c r="A43" s="63" t="inlineStr">
        <is>
          <t>Environmentální udržitelnost: popište environmentální udržitelnost jednotlivých aktivit/výstupů projektu</t>
        </is>
      </c>
      <c r="B43" s="240" t="inlineStr">
        <is>
          <t>Koncept repair café (opravit místo vyhodit), upcycling workshopy (výroba z odpadových materiálů), digitální výroba on-demand (minimalizace materiálového odpadu), sdílení vybavení dílny (redukce spotřeby individuálních strojů), sezónní energeticky úsporný provoz.</t>
        </is>
      </c>
      <c r="C43" s="241" t="n"/>
    </row>
    <row r="44" ht="20.25" customHeight="1" s="199">
      <c r="A44" s="242" t="inlineStr">
        <is>
          <t xml:space="preserve">ATRAKTIVITA A MARKETINGOVÝ POTENCIÁL PROJEKTU </t>
        </is>
      </c>
      <c r="B44" s="243" t="n"/>
      <c r="C44" s="244" t="n"/>
    </row>
    <row r="45" ht="25.5" customHeight="1" s="199">
      <c r="A45" s="69" t="inlineStr">
        <is>
          <t>Nejvýznamější výstup projektu</t>
        </is>
      </c>
      <c r="B45" s="245" t="inlineStr">
        <is>
          <t>Celoroční pilotní provoz Make &amp; Design Lab v Českých Budějovicích — první komunitní technologicko-kreativní dílna v Jihočeském kraji.</t>
        </is>
      </c>
      <c r="C45" s="203" t="n"/>
    </row>
    <row r="46" ht="25.5" customHeight="1" s="199">
      <c r="A46" s="71" t="inlineStr">
        <is>
          <t>Atraktivita projektu pro širokou veřejnost</t>
        </is>
      </c>
      <c r="B46" s="246" t="inlineStr">
        <is>
          <t>Otevřená dílna (3D tisk, laser, CNC, šití), interaktivní repair café, víkendové dny otevřených dveří a výzvy. Maker přístup je ze své podstaty interaktivní a zážitkový.</t>
        </is>
      </c>
      <c r="C46" s="217" t="n"/>
    </row>
    <row r="47" ht="25.5" customHeight="1" s="199">
      <c r="A47" s="71" t="inlineStr">
        <is>
          <t>Atraktivita projektu pro odbornou veřejnost</t>
        </is>
      </c>
      <c r="B47" s="246" t="inlineStr">
        <is>
          <t>Design Lab (JVTP) a výstava designu jako procesu. Propojení s regionálními podniky (Bosch, Engel) a akademickou sférou (JČU). Výměna know-how s Linzem a Chemnitzem.</t>
        </is>
      </c>
      <c r="C47" s="217" t="n"/>
    </row>
    <row r="48" ht="25.5" customHeight="1" s="199">
      <c r="A48" s="71" t="inlineStr">
        <is>
          <t>Atraktivita projektu pro cestovní ruch</t>
        </is>
      </c>
      <c r="B48" s="246" t="inlineStr">
        <is>
          <t>Netradiční turistická lokace — dílna jako živé inovační centrum. Spolupráce na městských intervencích (Ostrov kultury) — prototypy vytvořené v labu jdou do veřejného prostoru.</t>
        </is>
      </c>
      <c r="C48" s="217" t="n"/>
    </row>
    <row r="49" ht="25.5" customHeight="1" s="199">
      <c r="A49" s="71" t="inlineStr">
        <is>
          <t>Virální / online atraktivita a potenciál projektu</t>
        </is>
      </c>
      <c r="B49" s="246" t="inlineStr">
        <is>
          <t>Maker kultura je silně vizuální (fotky a videa procesů tvorby na Instagramu/TikToku), zapojení online influencerů, soutěžní formáty motivující ke sdílení s hashtagy.</t>
        </is>
      </c>
      <c r="C49" s="217" t="n"/>
    </row>
    <row r="50" ht="25.5" customHeight="1" s="199">
      <c r="A50" s="73" t="inlineStr">
        <is>
          <t>Marketingové nebo mediální spolupráce</t>
        </is>
      </c>
      <c r="B50" s="246" t="inlineStr">
        <is>
          <t>Spolupráce s PR týmem EHMK 2028, regionálními médii v JčK, komunitou Maker Faire ČR, partnerskými podniky a školami v kraji.</t>
        </is>
      </c>
      <c r="C50" s="217" t="n"/>
    </row>
    <row r="51" ht="20.25" customHeight="1" s="199">
      <c r="A51" s="247" t="inlineStr">
        <is>
          <t>CÍLOVÉ SKUPINY PROJEKTU A JAK JE ZAPOJÍTE (účastnictvo, diváctvo, zapojení do tvorby)</t>
        </is>
      </c>
      <c r="B51" s="237" t="n"/>
      <c r="C51" s="238" t="n"/>
    </row>
    <row r="52" ht="39.75" customHeight="1" s="199">
      <c r="A52" s="75" t="inlineStr">
        <is>
          <t>cílová skupina 1 
a jak a kdy ji plánujete zapojit</t>
        </is>
      </c>
      <c r="B52" s="248" t="inlineStr">
        <is>
          <t>Žáci a studenti ZŠ a SŠ (6–18 let) — aktivní účastníci dopoledních programů (Po–Čt, 2 třídy/den). Termíny: únor–květen, září–listopad 2028.</t>
        </is>
      </c>
      <c r="C52" s="203" t="n"/>
    </row>
    <row r="53" ht="39.75" customHeight="1" s="199">
      <c r="A53" s="75" t="inlineStr">
        <is>
          <t>cílová skupina 2 
a jak a kdy ji plánujete zapojit</t>
        </is>
      </c>
      <c r="B53" s="249" t="inlineStr">
        <is>
          <t>Široká veřejnost a rodiny — účastníci večerních workshopů, otevřených dílen a repair café, návštěvníci víkendových akcí. Celoročně 2028.</t>
        </is>
      </c>
      <c r="C53" s="217" t="n"/>
    </row>
    <row r="54" ht="39.75" customHeight="1" s="199">
      <c r="A54" s="75" t="inlineStr">
        <is>
          <t>cílová skupina 3 
a jak a kdy ji plánujete zapojit</t>
        </is>
      </c>
      <c r="B54" s="249" t="inlineStr">
        <is>
          <t>Kreativci, designéři a podnikatelé — sdílené zázemí (open studio), účast na networkingu 2027 a design sprintech se startupy 2028.</t>
        </is>
      </c>
      <c r="C54" s="217" t="n"/>
    </row>
    <row r="55" ht="39.75" customHeight="1" s="199">
      <c r="A55" s="75" t="inlineStr">
        <is>
          <t>cílová skupina 4 
(případně přidejte řádky)</t>
        </is>
      </c>
      <c r="B55" s="250" t="inlineStr">
        <is>
          <t>Odborná veřejnost a pedagogové — návštěvníci výstavy Design Lab, účastníci přednášek, pedagogové využívající metodické kurikulum. Průběžně 2028.</t>
        </is>
      </c>
      <c r="C55" s="241" t="n"/>
    </row>
    <row r="56" ht="20.25" customHeight="1" s="199">
      <c r="A56" s="251" t="inlineStr">
        <is>
          <t>OBSAHOVÍ PARTNEŘI PROJEKTU A JAK JE ZAPOJÍTE</t>
        </is>
      </c>
      <c r="B56" s="243" t="n"/>
      <c r="C56" s="244" t="n"/>
    </row>
    <row r="57" ht="30.75" customHeight="1" s="199">
      <c r="A57" s="80" t="inlineStr">
        <is>
          <t>partner 1 
a jak a kdy bude zapojen</t>
        </is>
      </c>
      <c r="B57" s="248" t="inlineStr">
        <is>
          <t>Make more s.r.o. — hlavní realizační partner: provoz dílny, školní a komunitní programy, zapůjčení vybavení. 2027–2028.</t>
        </is>
      </c>
      <c r="C57" s="203" t="n"/>
    </row>
    <row r="58" ht="30.75" customHeight="1" s="199">
      <c r="A58" s="80" t="inlineStr">
        <is>
          <t xml:space="preserve"> partner 2 
a jak a kdy bude zapojen</t>
        </is>
      </c>
      <c r="B58" s="249" t="inlineStr">
        <is>
          <t>Grand Garage Linz / Kunstuniversität Linz — zahraniční partner: sdílení know-how, lektorská výměna, studijní cesta 2027, partnerské rezidence 2028.</t>
        </is>
      </c>
      <c r="C58" s="217" t="n"/>
    </row>
    <row r="59" ht="30.75" customHeight="1" s="199">
      <c r="A59" s="80" t="inlineStr">
        <is>
          <t>partner 3 
a jak a kdy bude zapojen</t>
        </is>
      </c>
      <c r="B59" s="249" t="inlineStr">
        <is>
          <t>Místní školy a vzdělávací instituce — spolupráce na osnovách (2027), pravidelný dopolední program pro třídy (2028).</t>
        </is>
      </c>
      <c r="C59" s="217" t="n"/>
    </row>
    <row r="60" ht="30.75" customHeight="1" s="199">
      <c r="A60" s="81" t="inlineStr">
        <is>
          <t>partner 4 
případně přidejte řádek</t>
        </is>
      </c>
      <c r="B60" s="252" t="inlineStr">
        <is>
          <t>Partnerské podniky z regionu (Bosch, Engel aj.) — mentoring, sponzoring materiálu, reálná zadání pro komunitní soutěže a design sprinty. 2028.</t>
        </is>
      </c>
      <c r="C60" s="253" t="n"/>
    </row>
    <row r="61" ht="20.25" customHeight="1" s="199">
      <c r="A61" s="254" t="inlineStr">
        <is>
          <t>FINANCE</t>
        </is>
      </c>
      <c r="B61" s="255" t="n"/>
      <c r="C61" s="256" t="n"/>
    </row>
    <row r="62" ht="20.25" customHeight="1" s="199">
      <c r="A62" s="87" t="inlineStr">
        <is>
          <t>CELKOVÝ ROZPOČET PROJEKTU</t>
        </is>
      </c>
      <c r="B62" s="257" t="n"/>
      <c r="C62" s="201" t="n"/>
    </row>
    <row r="63" ht="20.25" customHeight="1" s="199">
      <c r="A63" s="89" t="inlineStr">
        <is>
          <t>FINANČNÍ PODÍL ČB 28</t>
        </is>
      </c>
      <c r="B63" s="258" t="n"/>
      <c r="C63" s="210" t="n"/>
    </row>
    <row r="64" ht="20.25" customHeight="1" s="199">
      <c r="A64" s="91" t="inlineStr">
        <is>
          <t>Rozpočet na jednotlivé roky</t>
        </is>
      </c>
      <c r="B64" s="92" t="n"/>
      <c r="C64" s="93" t="n"/>
    </row>
    <row r="65" ht="20.25" customHeight="1" s="199">
      <c r="A65" s="94" t="inlineStr">
        <is>
          <t>Finanční podíl ČB28 na jednotlivé roky</t>
        </is>
      </c>
      <c r="B65" s="95" t="n"/>
      <c r="C65" s="96" t="n"/>
    </row>
    <row r="66" ht="20.25" customHeight="1" s="199">
      <c r="A66" s="94" t="inlineStr">
        <is>
          <t xml:space="preserve">zdroj spolufinancování 1 </t>
        </is>
      </c>
      <c r="B66" s="95" t="n"/>
      <c r="C66" s="96" t="n"/>
    </row>
    <row r="67" ht="20.25" customHeight="1" s="199">
      <c r="A67" s="94" t="inlineStr">
        <is>
          <t>zdroj spolufinancování 2</t>
        </is>
      </c>
      <c r="B67" s="95" t="n"/>
      <c r="C67" s="96" t="n"/>
    </row>
    <row r="68" ht="30" customHeight="1" s="199">
      <c r="A68" s="94" t="inlineStr">
        <is>
          <t>zdroj spolufinancování 3 (případně přidejte řádek)</t>
        </is>
      </c>
      <c r="B68" s="95" t="n"/>
      <c r="C68" s="96" t="n"/>
    </row>
    <row r="69" ht="20.25" customHeight="1" s="199">
      <c r="A69" s="97" t="inlineStr">
        <is>
          <t>soukromé financování / vstupné celkem</t>
        </is>
      </c>
      <c r="B69" s="95" t="n"/>
      <c r="C69" s="96" t="n"/>
    </row>
    <row r="70" ht="20.25" customHeight="1" s="199">
      <c r="A70" s="98" t="inlineStr">
        <is>
          <t>EU zdroje financování – případně jaké</t>
        </is>
      </c>
      <c r="B70" s="99" t="n"/>
      <c r="C70" s="100" t="n"/>
    </row>
    <row r="71" ht="15.75" customHeight="1" s="199">
      <c r="A71" s="101" t="n"/>
    </row>
    <row r="72" ht="15.75" customHeight="1" s="199">
      <c r="A72" s="101" t="n"/>
    </row>
    <row r="73" ht="15.75" customHeight="1" s="199">
      <c r="A73" s="101" t="n"/>
    </row>
    <row r="74" ht="15.75" customHeight="1" s="199">
      <c r="A74" s="101" t="n"/>
    </row>
    <row r="75" ht="15.75" customHeight="1" s="199">
      <c r="A75" s="101" t="n"/>
    </row>
    <row r="76" ht="15.75" customHeight="1" s="199">
      <c r="A76" s="101" t="n"/>
    </row>
    <row r="77" ht="15.75" customHeight="1" s="199">
      <c r="A77" s="101" t="n"/>
    </row>
    <row r="78" ht="15.75" customHeight="1" s="199">
      <c r="A78" s="101" t="n"/>
    </row>
    <row r="79" ht="15.75" customHeight="1" s="199">
      <c r="A79" s="101" t="n"/>
    </row>
    <row r="80" ht="15.75" customHeight="1" s="199">
      <c r="A80" s="101" t="n"/>
    </row>
    <row r="81" ht="15.75" customHeight="1" s="199">
      <c r="A81" s="101" t="n"/>
    </row>
    <row r="82" ht="15.75" customHeight="1" s="199">
      <c r="A82" s="101" t="n"/>
    </row>
    <row r="83" ht="15.75" customHeight="1" s="199">
      <c r="A83" s="101" t="n"/>
    </row>
    <row r="84" ht="15.75" customHeight="1" s="199">
      <c r="A84" s="101" t="n"/>
    </row>
    <row r="85" ht="15.75" customHeight="1" s="199">
      <c r="A85" s="101" t="n"/>
    </row>
    <row r="86" ht="15.75" customHeight="1" s="199">
      <c r="A86" s="101" t="n"/>
    </row>
    <row r="87" ht="15.75" customHeight="1" s="199">
      <c r="A87" s="101" t="n"/>
    </row>
    <row r="88" ht="15.75" customHeight="1" s="199">
      <c r="A88" s="101" t="n"/>
    </row>
    <row r="89" ht="15.75" customHeight="1" s="199">
      <c r="A89" s="101" t="n"/>
    </row>
    <row r="90" ht="15.75" customHeight="1" s="199">
      <c r="A90" s="101" t="n"/>
    </row>
    <row r="91" ht="15.75" customHeight="1" s="199">
      <c r="A91" s="101" t="n"/>
    </row>
    <row r="92" ht="15.75" customHeight="1" s="199">
      <c r="A92" s="101" t="n"/>
    </row>
    <row r="93" ht="15.75" customHeight="1" s="199">
      <c r="A93" s="101" t="n"/>
    </row>
    <row r="94" ht="15.75" customHeight="1" s="199">
      <c r="A94" s="101" t="n"/>
    </row>
    <row r="95" ht="15.75" customHeight="1" s="199">
      <c r="A95" s="101" t="n"/>
    </row>
    <row r="96" ht="15.75" customHeight="1" s="199">
      <c r="A96" s="101" t="n"/>
    </row>
    <row r="97" ht="15.75" customHeight="1" s="199">
      <c r="A97" s="101" t="n"/>
    </row>
    <row r="98" ht="15.75" customHeight="1" s="199">
      <c r="A98" s="101" t="n"/>
    </row>
    <row r="99" ht="15.75" customHeight="1" s="199">
      <c r="A99" s="101" t="n"/>
    </row>
    <row r="100" ht="15.75" customHeight="1" s="199">
      <c r="A100" s="101" t="n"/>
    </row>
    <row r="101" ht="15.75" customHeight="1" s="199">
      <c r="A101" s="101" t="n"/>
    </row>
    <row r="102" ht="15.75" customHeight="1" s="199">
      <c r="A102" s="101" t="n"/>
    </row>
    <row r="103" ht="15.75" customHeight="1" s="199">
      <c r="A103" s="101" t="n"/>
    </row>
    <row r="104" ht="15.75" customHeight="1" s="199">
      <c r="A104" s="101" t="n"/>
    </row>
    <row r="105" ht="15.75" customHeight="1" s="199">
      <c r="A105" s="101" t="n"/>
    </row>
    <row r="106" ht="15.75" customHeight="1" s="199">
      <c r="A106" s="101" t="n"/>
    </row>
    <row r="107" ht="15.75" customHeight="1" s="199">
      <c r="A107" s="101" t="n"/>
    </row>
    <row r="108" ht="15.75" customHeight="1" s="199">
      <c r="A108" s="101" t="n"/>
    </row>
    <row r="109" ht="15.75" customHeight="1" s="199">
      <c r="A109" s="101" t="n"/>
    </row>
    <row r="110" ht="15.75" customHeight="1" s="199">
      <c r="A110" s="101" t="n"/>
    </row>
    <row r="111" ht="15.75" customHeight="1" s="199">
      <c r="A111" s="101" t="n"/>
    </row>
    <row r="112" ht="15.75" customHeight="1" s="199">
      <c r="A112" s="101" t="n"/>
    </row>
    <row r="113" ht="15.75" customHeight="1" s="199">
      <c r="A113" s="101" t="n"/>
    </row>
    <row r="114" ht="15.75" customHeight="1" s="199">
      <c r="A114" s="101" t="n"/>
    </row>
    <row r="115" ht="15.75" customHeight="1" s="199">
      <c r="A115" s="101" t="n"/>
    </row>
    <row r="116" ht="15.75" customHeight="1" s="199">
      <c r="A116" s="101" t="n"/>
    </row>
    <row r="117" ht="15.75" customHeight="1" s="199">
      <c r="A117" s="101" t="n"/>
    </row>
    <row r="118" ht="15.75" customHeight="1" s="199">
      <c r="A118" s="101" t="n"/>
    </row>
    <row r="119" ht="15.75" customHeight="1" s="199">
      <c r="A119" s="101" t="n"/>
    </row>
    <row r="120" ht="15.75" customHeight="1" s="199">
      <c r="A120" s="101" t="n"/>
    </row>
    <row r="121" ht="15.75" customHeight="1" s="199">
      <c r="A121" s="101" t="n"/>
    </row>
    <row r="122" ht="15.75" customHeight="1" s="199">
      <c r="A122" s="101" t="n"/>
    </row>
    <row r="123" ht="15.75" customHeight="1" s="199">
      <c r="A123" s="101" t="n"/>
    </row>
    <row r="124" ht="15.75" customHeight="1" s="199">
      <c r="A124" s="101" t="n"/>
    </row>
    <row r="125" ht="15.75" customHeight="1" s="199">
      <c r="A125" s="101" t="n"/>
    </row>
    <row r="126" ht="15.75" customHeight="1" s="199">
      <c r="A126" s="101" t="n"/>
    </row>
    <row r="127" ht="15.75" customHeight="1" s="199">
      <c r="A127" s="101" t="n"/>
    </row>
    <row r="128" ht="15.75" customHeight="1" s="199">
      <c r="A128" s="101" t="n"/>
    </row>
    <row r="129" ht="15.75" customHeight="1" s="199">
      <c r="A129" s="101" t="n"/>
    </row>
    <row r="130" ht="15.75" customHeight="1" s="199">
      <c r="A130" s="101" t="n"/>
    </row>
    <row r="131" ht="15.75" customHeight="1" s="199">
      <c r="A131" s="101" t="n"/>
    </row>
    <row r="132" ht="15.75" customHeight="1" s="199">
      <c r="A132" s="101" t="n"/>
    </row>
    <row r="133" ht="15.75" customHeight="1" s="199">
      <c r="A133" s="101" t="n"/>
    </row>
    <row r="134" ht="15.75" customHeight="1" s="199">
      <c r="A134" s="101" t="n"/>
    </row>
    <row r="135" ht="15.75" customHeight="1" s="199">
      <c r="A135" s="101" t="n"/>
    </row>
    <row r="136" ht="15.75" customHeight="1" s="199">
      <c r="A136" s="101" t="n"/>
    </row>
    <row r="137" ht="15.75" customHeight="1" s="199">
      <c r="A137" s="101" t="n"/>
    </row>
    <row r="138" ht="15.75" customHeight="1" s="199">
      <c r="A138" s="101" t="n"/>
    </row>
    <row r="139" ht="15.75" customHeight="1" s="199">
      <c r="A139" s="101" t="n"/>
    </row>
    <row r="140" ht="15.75" customHeight="1" s="199">
      <c r="A140" s="101" t="n"/>
    </row>
    <row r="141" ht="15.75" customHeight="1" s="199">
      <c r="A141" s="101" t="n"/>
    </row>
    <row r="142" ht="15.75" customHeight="1" s="199">
      <c r="A142" s="101" t="n"/>
    </row>
    <row r="143" ht="15.75" customHeight="1" s="199">
      <c r="A143" s="101" t="n"/>
    </row>
    <row r="144" ht="15.75" customHeight="1" s="199">
      <c r="A144" s="101" t="n"/>
    </row>
    <row r="145" ht="15.75" customHeight="1" s="199">
      <c r="A145" s="101" t="n"/>
    </row>
    <row r="146" ht="15.75" customHeight="1" s="199">
      <c r="A146" s="101" t="n"/>
    </row>
    <row r="147" ht="15.75" customHeight="1" s="199">
      <c r="A147" s="101" t="n"/>
    </row>
    <row r="148" ht="15.75" customHeight="1" s="199">
      <c r="A148" s="101" t="n"/>
    </row>
    <row r="149" ht="15.75" customHeight="1" s="199">
      <c r="A149" s="101" t="n"/>
    </row>
    <row r="150" ht="15.75" customHeight="1" s="199">
      <c r="A150" s="101" t="n"/>
    </row>
    <row r="151" ht="15.75" customHeight="1" s="199">
      <c r="A151" s="101" t="n"/>
    </row>
    <row r="152" ht="15.75" customHeight="1" s="199">
      <c r="A152" s="101" t="n"/>
    </row>
    <row r="153" ht="15.75" customHeight="1" s="199">
      <c r="A153" s="101" t="n"/>
    </row>
    <row r="154" ht="15.75" customHeight="1" s="199">
      <c r="A154" s="101" t="n"/>
    </row>
    <row r="155" ht="15.75" customHeight="1" s="199">
      <c r="A155" s="101" t="n"/>
    </row>
    <row r="156" ht="15.75" customHeight="1" s="199">
      <c r="A156" s="101" t="n"/>
    </row>
    <row r="157" ht="15.75" customHeight="1" s="199">
      <c r="A157" s="101" t="n"/>
    </row>
    <row r="158" ht="15.75" customHeight="1" s="199">
      <c r="A158" s="101" t="n"/>
    </row>
    <row r="159" ht="15.75" customHeight="1" s="199">
      <c r="A159" s="101" t="n"/>
    </row>
    <row r="160" ht="15.75" customHeight="1" s="199">
      <c r="A160" s="101" t="n"/>
    </row>
    <row r="161" ht="15.75" customHeight="1" s="199">
      <c r="A161" s="101" t="n"/>
    </row>
    <row r="162" ht="15.75" customHeight="1" s="199">
      <c r="A162" s="101" t="n"/>
    </row>
    <row r="163" ht="15.75" customHeight="1" s="199">
      <c r="A163" s="101" t="n"/>
    </row>
    <row r="164" ht="15.75" customHeight="1" s="199">
      <c r="A164" s="101" t="n"/>
    </row>
    <row r="165" ht="15.75" customHeight="1" s="199">
      <c r="A165" s="101" t="n"/>
    </row>
    <row r="166" ht="15.75" customHeight="1" s="199">
      <c r="A166" s="101" t="n"/>
    </row>
    <row r="167" ht="15.75" customHeight="1" s="199">
      <c r="A167" s="101" t="n"/>
    </row>
    <row r="168" ht="15.75" customHeight="1" s="199">
      <c r="A168" s="101" t="n"/>
    </row>
    <row r="169" ht="15.75" customHeight="1" s="199">
      <c r="A169" s="101" t="n"/>
    </row>
    <row r="170" ht="15.75" customHeight="1" s="199">
      <c r="A170" s="101" t="n"/>
    </row>
    <row r="171" ht="15.75" customHeight="1" s="199">
      <c r="A171" s="101" t="n"/>
    </row>
    <row r="172" ht="15.75" customHeight="1" s="199">
      <c r="A172" s="101" t="n"/>
    </row>
    <row r="173" ht="15.75" customHeight="1" s="199">
      <c r="A173" s="101" t="n"/>
    </row>
    <row r="174" ht="15.75" customHeight="1" s="199">
      <c r="A174" s="101" t="n"/>
    </row>
    <row r="175" ht="15.75" customHeight="1" s="199">
      <c r="A175" s="101" t="n"/>
    </row>
    <row r="176" ht="15.75" customHeight="1" s="199">
      <c r="A176" s="101" t="n"/>
    </row>
    <row r="177" ht="15.75" customHeight="1" s="199">
      <c r="A177" s="101" t="n"/>
    </row>
    <row r="178" ht="15.75" customHeight="1" s="199">
      <c r="A178" s="101" t="n"/>
    </row>
    <row r="179" ht="15.75" customHeight="1" s="199">
      <c r="A179" s="101" t="n"/>
    </row>
    <row r="180" ht="15.75" customHeight="1" s="199">
      <c r="A180" s="101" t="n"/>
    </row>
    <row r="181" ht="15.75" customHeight="1" s="199">
      <c r="A181" s="101" t="n"/>
    </row>
    <row r="182" ht="15.75" customHeight="1" s="199">
      <c r="A182" s="101" t="n"/>
    </row>
    <row r="183" ht="15.75" customHeight="1" s="199">
      <c r="A183" s="101" t="n"/>
    </row>
    <row r="184" ht="15.75" customHeight="1" s="199">
      <c r="A184" s="101" t="n"/>
    </row>
    <row r="185" ht="15.75" customHeight="1" s="199">
      <c r="A185" s="101" t="n"/>
    </row>
    <row r="186" ht="15.75" customHeight="1" s="199">
      <c r="A186" s="101" t="n"/>
    </row>
    <row r="187" ht="15.75" customHeight="1" s="199">
      <c r="A187" s="101" t="n"/>
    </row>
    <row r="188" ht="15.75" customHeight="1" s="199">
      <c r="A188" s="101" t="n"/>
    </row>
    <row r="189" ht="15.75" customHeight="1" s="199">
      <c r="A189" s="101" t="n"/>
    </row>
    <row r="190" ht="15.75" customHeight="1" s="199">
      <c r="A190" s="101" t="n"/>
    </row>
    <row r="191" ht="15.75" customHeight="1" s="199">
      <c r="A191" s="101" t="n"/>
    </row>
    <row r="192" ht="15.75" customHeight="1" s="199">
      <c r="A192" s="101" t="n"/>
    </row>
    <row r="193" ht="15.75" customHeight="1" s="199">
      <c r="A193" s="101" t="n"/>
    </row>
    <row r="194" ht="15.75" customHeight="1" s="199">
      <c r="A194" s="101" t="n"/>
    </row>
    <row r="195" ht="15.75" customHeight="1" s="199">
      <c r="A195" s="101" t="n"/>
    </row>
    <row r="196" ht="15.75" customHeight="1" s="199">
      <c r="A196" s="101" t="n"/>
    </row>
    <row r="197" ht="15.75" customHeight="1" s="199">
      <c r="A197" s="101" t="n"/>
    </row>
    <row r="198" ht="15.75" customHeight="1" s="199">
      <c r="A198" s="101" t="n"/>
    </row>
    <row r="199" ht="15.75" customHeight="1" s="199">
      <c r="A199" s="101" t="n"/>
    </row>
    <row r="200" ht="15.75" customHeight="1" s="199">
      <c r="A200" s="101" t="n"/>
    </row>
    <row r="201" ht="15.75" customHeight="1" s="199">
      <c r="A201" s="101" t="n"/>
    </row>
    <row r="202" ht="15.75" customHeight="1" s="199">
      <c r="A202" s="101" t="n"/>
    </row>
    <row r="203" ht="15.75" customHeight="1" s="199">
      <c r="A203" s="101" t="n"/>
    </row>
    <row r="204" ht="15.75" customHeight="1" s="199">
      <c r="A204" s="101" t="n"/>
    </row>
    <row r="205" ht="15.75" customHeight="1" s="199">
      <c r="A205" s="101" t="n"/>
    </row>
    <row r="206" ht="15.75" customHeight="1" s="199">
      <c r="A206" s="101" t="n"/>
    </row>
    <row r="207" ht="15.75" customHeight="1" s="199">
      <c r="A207" s="101" t="n"/>
    </row>
    <row r="208" ht="15.75" customHeight="1" s="199">
      <c r="A208" s="101" t="n"/>
    </row>
    <row r="209" ht="15.75" customHeight="1" s="199">
      <c r="A209" s="101" t="n"/>
    </row>
    <row r="210" ht="15.75" customHeight="1" s="199">
      <c r="A210" s="101" t="n"/>
    </row>
    <row r="211" ht="15.75" customHeight="1" s="199">
      <c r="A211" s="101" t="n"/>
    </row>
    <row r="212" ht="15.75" customHeight="1" s="199">
      <c r="A212" s="101" t="n"/>
    </row>
    <row r="213" ht="15.75" customHeight="1" s="199">
      <c r="A213" s="101" t="n"/>
    </row>
    <row r="214" ht="15.75" customHeight="1" s="199">
      <c r="A214" s="101" t="n"/>
    </row>
    <row r="215" ht="15.75" customHeight="1" s="199">
      <c r="A215" s="101" t="n"/>
    </row>
    <row r="216" ht="15.75" customHeight="1" s="199">
      <c r="A216" s="101" t="n"/>
    </row>
    <row r="217" ht="15.75" customHeight="1" s="199">
      <c r="A217" s="101" t="n"/>
    </row>
    <row r="218" ht="15.75" customHeight="1" s="199">
      <c r="A218" s="101" t="n"/>
    </row>
    <row r="219" ht="15.75" customHeight="1" s="199">
      <c r="A219" s="101" t="n"/>
    </row>
    <row r="220" ht="15.75" customHeight="1" s="199">
      <c r="A220" s="101" t="n"/>
    </row>
    <row r="221" ht="15.75" customHeight="1" s="199">
      <c r="A221" s="101" t="n"/>
    </row>
    <row r="222" ht="15.75" customHeight="1" s="199">
      <c r="A222" s="101" t="n"/>
    </row>
    <row r="223" ht="15.75" customHeight="1" s="199">
      <c r="A223" s="101" t="n"/>
    </row>
    <row r="224" ht="15.75" customHeight="1" s="199">
      <c r="A224" s="101" t="n"/>
    </row>
    <row r="225" ht="15.75" customHeight="1" s="199">
      <c r="A225" s="101" t="n"/>
    </row>
    <row r="226" ht="15.75" customHeight="1" s="199">
      <c r="A226" s="101" t="n"/>
    </row>
    <row r="227" ht="15.75" customHeight="1" s="199">
      <c r="A227" s="101" t="n"/>
    </row>
    <row r="228" ht="15.75" customHeight="1" s="199">
      <c r="A228" s="101" t="n"/>
    </row>
    <row r="229" ht="15.75" customHeight="1" s="199">
      <c r="A229" s="101" t="n"/>
    </row>
    <row r="230" ht="15.75" customHeight="1" s="199">
      <c r="A230" s="101" t="n"/>
    </row>
    <row r="231" ht="15.75" customHeight="1" s="199">
      <c r="A231" s="101" t="n"/>
    </row>
    <row r="232" ht="15.75" customHeight="1" s="199">
      <c r="A232" s="101" t="n"/>
    </row>
    <row r="233" ht="15.75" customHeight="1" s="199">
      <c r="A233" s="101" t="n"/>
    </row>
    <row r="234" ht="15.75" customHeight="1" s="199">
      <c r="A234" s="101" t="n"/>
    </row>
    <row r="235" ht="15.75" customHeight="1" s="199">
      <c r="A235" s="101" t="n"/>
    </row>
    <row r="236" ht="15.75" customHeight="1" s="199">
      <c r="A236" s="101" t="n"/>
    </row>
    <row r="237" ht="15.75" customHeight="1" s="199">
      <c r="A237" s="101" t="n"/>
    </row>
    <row r="238" ht="15.75" customHeight="1" s="199">
      <c r="A238" s="101" t="n"/>
    </row>
    <row r="239" ht="15.75" customHeight="1" s="199">
      <c r="A239" s="101" t="n"/>
    </row>
    <row r="240" ht="15.75" customHeight="1" s="199">
      <c r="A240" s="101" t="n"/>
    </row>
    <row r="241" ht="15.75" customHeight="1" s="199">
      <c r="A241" s="101" t="n"/>
    </row>
    <row r="242" ht="15.75" customHeight="1" s="199">
      <c r="A242" s="101" t="n"/>
    </row>
    <row r="243" ht="15.75" customHeight="1" s="199">
      <c r="A243" s="101" t="n"/>
    </row>
    <row r="244" ht="15.75" customHeight="1" s="199">
      <c r="A244" s="101" t="n"/>
    </row>
    <row r="245" ht="15.75" customHeight="1" s="199">
      <c r="A245" s="101" t="n"/>
    </row>
    <row r="246" ht="15.75" customHeight="1" s="199">
      <c r="A246" s="101" t="n"/>
    </row>
    <row r="247" ht="15.75" customHeight="1" s="199">
      <c r="A247" s="101" t="n"/>
    </row>
    <row r="248" ht="15.75" customHeight="1" s="199">
      <c r="A248" s="101" t="n"/>
    </row>
    <row r="249" ht="15.75" customHeight="1" s="199">
      <c r="A249" s="101" t="n"/>
    </row>
    <row r="250" ht="15.75" customHeight="1" s="199">
      <c r="A250" s="101" t="n"/>
    </row>
    <row r="251" ht="15.75" customHeight="1" s="199">
      <c r="A251" s="101" t="n"/>
    </row>
    <row r="252" ht="15.75" customHeight="1" s="199">
      <c r="A252" s="101" t="n"/>
    </row>
    <row r="253" ht="15.75" customHeight="1" s="199">
      <c r="A253" s="101" t="n"/>
    </row>
    <row r="254" ht="15.75" customHeight="1" s="199">
      <c r="A254" s="101" t="n"/>
    </row>
    <row r="255" ht="15.75" customHeight="1" s="199">
      <c r="A255" s="101" t="n"/>
    </row>
    <row r="256" ht="15.75" customHeight="1" s="199">
      <c r="A256" s="101" t="n"/>
    </row>
    <row r="257" ht="15.75" customHeight="1" s="199">
      <c r="A257" s="101" t="n"/>
    </row>
    <row r="258" ht="15.75" customHeight="1" s="199">
      <c r="A258" s="101" t="n"/>
    </row>
    <row r="259" ht="15.75" customHeight="1" s="199">
      <c r="A259" s="101" t="n"/>
    </row>
    <row r="260" ht="15.75" customHeight="1" s="199">
      <c r="A260" s="101" t="n"/>
    </row>
    <row r="261" ht="15.75" customHeight="1" s="199">
      <c r="A261" s="101" t="n"/>
    </row>
    <row r="262" ht="15.75" customHeight="1" s="199">
      <c r="A262" s="101" t="n"/>
    </row>
    <row r="263" ht="15.75" customHeight="1" s="199">
      <c r="A263" s="101" t="n"/>
    </row>
    <row r="264" ht="15.75" customHeight="1" s="199">
      <c r="A264" s="101" t="n"/>
    </row>
    <row r="265" ht="15.75" customHeight="1" s="199">
      <c r="A265" s="101" t="n"/>
    </row>
    <row r="266" ht="15.75" customHeight="1" s="199">
      <c r="A266" s="101" t="n"/>
    </row>
    <row r="267" ht="15.75" customHeight="1" s="199">
      <c r="A267" s="101" t="n"/>
    </row>
    <row r="268" ht="15.75" customHeight="1" s="199">
      <c r="A268" s="101" t="n"/>
    </row>
    <row r="269" ht="15.75" customHeight="1" s="199">
      <c r="A269" s="101" t="n"/>
    </row>
    <row r="270" ht="15.75" customHeight="1" s="199">
      <c r="A270" s="101" t="n"/>
    </row>
    <row r="271" ht="15.75" customHeight="1" s="199"/>
    <row r="272" ht="15.75" customHeight="1" s="199"/>
    <row r="273" ht="15.75" customHeight="1" s="199"/>
    <row r="274" ht="15.75" customHeight="1" s="199"/>
    <row r="275" ht="15.75" customHeight="1" s="199"/>
    <row r="276" ht="15.75" customHeight="1" s="199"/>
    <row r="277" ht="15.75" customHeight="1" s="199"/>
    <row r="278" ht="15.75" customHeight="1" s="199"/>
    <row r="279" ht="15.75" customHeight="1" s="199"/>
    <row r="280" ht="15.75" customHeight="1" s="199"/>
    <row r="281" ht="15.75" customHeight="1" s="199"/>
    <row r="282" ht="15.75" customHeight="1" s="199"/>
    <row r="283" ht="15.75" customHeight="1" s="199"/>
    <row r="284" ht="15.75" customHeight="1" s="199"/>
    <row r="285" ht="15.75" customHeight="1" s="199"/>
    <row r="286" ht="15.75" customHeight="1" s="199"/>
    <row r="287" ht="15.75" customHeight="1" s="199"/>
    <row r="288" ht="15.75" customHeight="1" s="199"/>
    <row r="289" ht="15.75" customHeight="1" s="199"/>
    <row r="290" ht="15.75" customHeight="1" s="199"/>
    <row r="291" ht="15.75" customHeight="1" s="199"/>
    <row r="292" ht="15.75" customHeight="1" s="199"/>
    <row r="293" ht="15.75" customHeight="1" s="199"/>
    <row r="294" ht="15.75" customHeight="1" s="199"/>
    <row r="295" ht="15.75" customHeight="1" s="199"/>
    <row r="296" ht="15.75" customHeight="1" s="199"/>
    <row r="297" ht="15.75" customHeight="1" s="199"/>
    <row r="298" ht="15.75" customHeight="1" s="199"/>
    <row r="299" ht="15.75" customHeight="1" s="199"/>
    <row r="300" ht="15.75" customHeight="1" s="199"/>
    <row r="301" ht="15.75" customHeight="1" s="199"/>
    <row r="302" ht="15.75" customHeight="1" s="199"/>
    <row r="303" ht="15.75" customHeight="1" s="199"/>
    <row r="304" ht="15.75" customHeight="1" s="199"/>
    <row r="305" ht="15.75" customHeight="1" s="199"/>
    <row r="306" ht="15.75" customHeight="1" s="199"/>
    <row r="307" ht="15.75" customHeight="1" s="199"/>
    <row r="308" ht="15.75" customHeight="1" s="199"/>
    <row r="309" ht="15.75" customHeight="1" s="199"/>
    <row r="310" ht="15.75" customHeight="1" s="199"/>
    <row r="311" ht="15.75" customHeight="1" s="199"/>
    <row r="312" ht="15.75" customHeight="1" s="199"/>
    <row r="313" ht="15.75" customHeight="1" s="199"/>
    <row r="314" ht="15.75" customHeight="1" s="199"/>
    <row r="315" ht="15.75" customHeight="1" s="199"/>
    <row r="316" ht="15.75" customHeight="1" s="199"/>
    <row r="317" ht="15.75" customHeight="1" s="199"/>
    <row r="318" ht="15.75" customHeight="1" s="199"/>
    <row r="319" ht="15.75" customHeight="1" s="199"/>
    <row r="320" ht="15.75" customHeight="1" s="199"/>
    <row r="321" ht="15.75" customHeight="1" s="199"/>
    <row r="322" ht="15.75" customHeight="1" s="199"/>
    <row r="323" ht="15.75" customHeight="1" s="199"/>
    <row r="324" ht="15.75" customHeight="1" s="199"/>
    <row r="325" ht="15.75" customHeight="1" s="199"/>
    <row r="326" ht="15.75" customHeight="1" s="199"/>
    <row r="327" ht="15.75" customHeight="1" s="199"/>
    <row r="328" ht="15.75" customHeight="1" s="199"/>
    <row r="329" ht="15.75" customHeight="1" s="199"/>
    <row r="330" ht="15.75" customHeight="1" s="199"/>
    <row r="331" ht="15.75" customHeight="1" s="199"/>
    <row r="332" ht="15.75" customHeight="1" s="199"/>
    <row r="333" ht="15.75" customHeight="1" s="199"/>
    <row r="334" ht="15.75" customHeight="1" s="199"/>
    <row r="335" ht="15.75" customHeight="1" s="199"/>
    <row r="336" ht="15.75" customHeight="1" s="199"/>
    <row r="337" ht="15.75" customHeight="1" s="199"/>
    <row r="338" ht="15.75" customHeight="1" s="199"/>
    <row r="339" ht="15.75" customHeight="1" s="199"/>
    <row r="340" ht="15.75" customHeight="1" s="199"/>
    <row r="341" ht="15.75" customHeight="1" s="199"/>
    <row r="342" ht="15.75" customHeight="1" s="199"/>
    <row r="343" ht="15.75" customHeight="1" s="199"/>
    <row r="344" ht="15.75" customHeight="1" s="199"/>
    <row r="345" ht="15.75" customHeight="1" s="199"/>
    <row r="346" ht="15.75" customHeight="1" s="199"/>
    <row r="347" ht="15.75" customHeight="1" s="199"/>
    <row r="348" ht="15.75" customHeight="1" s="199"/>
    <row r="349" ht="15.75" customHeight="1" s="199"/>
    <row r="350" ht="15.75" customHeight="1" s="199"/>
    <row r="351" ht="15.75" customHeight="1" s="199"/>
    <row r="352" ht="15.75" customHeight="1" s="199"/>
    <row r="353" ht="15.75" customHeight="1" s="199"/>
    <row r="354" ht="15.75" customHeight="1" s="199"/>
    <row r="355" ht="15.75" customHeight="1" s="199"/>
    <row r="356" ht="15.75" customHeight="1" s="199"/>
    <row r="357" ht="15.75" customHeight="1" s="199"/>
    <row r="358" ht="15.75" customHeight="1" s="199"/>
    <row r="359" ht="15.75" customHeight="1" s="199"/>
    <row r="360" ht="15.75" customHeight="1" s="199"/>
    <row r="361" ht="15.75" customHeight="1" s="199"/>
    <row r="362" ht="15.75" customHeight="1" s="199"/>
    <row r="363" ht="15.75" customHeight="1" s="199"/>
    <row r="364" ht="15.75" customHeight="1" s="199"/>
    <row r="365" ht="15.75" customHeight="1" s="199"/>
    <row r="366" ht="15.75" customHeight="1" s="199"/>
    <row r="367" ht="15.75" customHeight="1" s="199"/>
    <row r="368" ht="15.75" customHeight="1" s="199"/>
    <row r="369" ht="15.75" customHeight="1" s="199"/>
    <row r="370" ht="15.75" customHeight="1" s="199"/>
    <row r="371" ht="15.75" customHeight="1" s="199"/>
    <row r="372" ht="15.75" customHeight="1" s="199"/>
    <row r="373" ht="15.75" customHeight="1" s="199"/>
    <row r="374" ht="15.75" customHeight="1" s="199"/>
    <row r="375" ht="15.75" customHeight="1" s="199"/>
    <row r="376" ht="15.75" customHeight="1" s="199"/>
    <row r="377" ht="15.75" customHeight="1" s="199"/>
    <row r="378" ht="15.75" customHeight="1" s="199"/>
    <row r="379" ht="15.75" customHeight="1" s="199"/>
    <row r="380" ht="15.75" customHeight="1" s="199"/>
    <row r="381" ht="15.75" customHeight="1" s="199"/>
    <row r="382" ht="15.75" customHeight="1" s="199"/>
    <row r="383" ht="15.75" customHeight="1" s="199"/>
    <row r="384" ht="15.75" customHeight="1" s="199"/>
    <row r="385" ht="15.75" customHeight="1" s="199"/>
    <row r="386" ht="15.75" customHeight="1" s="199"/>
    <row r="387" ht="15.75" customHeight="1" s="199"/>
    <row r="388" ht="15.75" customHeight="1" s="199"/>
    <row r="389" ht="15.75" customHeight="1" s="199"/>
    <row r="390" ht="15.75" customHeight="1" s="199"/>
    <row r="391" ht="15.75" customHeight="1" s="199"/>
    <row r="392" ht="15.75" customHeight="1" s="199"/>
    <row r="393" ht="15.75" customHeight="1" s="199"/>
    <row r="394" ht="15.75" customHeight="1" s="199"/>
    <row r="395" ht="15.75" customHeight="1" s="199"/>
    <row r="396" ht="15.75" customHeight="1" s="199"/>
    <row r="397" ht="15.75" customHeight="1" s="199"/>
    <row r="398" ht="15.75" customHeight="1" s="199"/>
    <row r="399" ht="15.75" customHeight="1" s="199"/>
    <row r="400" ht="15.75" customHeight="1" s="199"/>
    <row r="401" ht="15.75" customHeight="1" s="199"/>
    <row r="402" ht="15.75" customHeight="1" s="199"/>
    <row r="403" ht="15.75" customHeight="1" s="199"/>
    <row r="404" ht="15.75" customHeight="1" s="199"/>
    <row r="405" ht="15.75" customHeight="1" s="199"/>
    <row r="406" ht="15.75" customHeight="1" s="199"/>
    <row r="407" ht="15.75" customHeight="1" s="199"/>
    <row r="408" ht="15.75" customHeight="1" s="199"/>
    <row r="409" ht="15.75" customHeight="1" s="199"/>
    <row r="410" ht="15.75" customHeight="1" s="199"/>
    <row r="411" ht="15.75" customHeight="1" s="199"/>
    <row r="412" ht="15.75" customHeight="1" s="199"/>
    <row r="413" ht="15.75" customHeight="1" s="199"/>
    <row r="414" ht="15.75" customHeight="1" s="199"/>
    <row r="415" ht="15.75" customHeight="1" s="199"/>
    <row r="416" ht="15.75" customHeight="1" s="199"/>
    <row r="417" ht="15.75" customHeight="1" s="199"/>
    <row r="418" ht="15.75" customHeight="1" s="199"/>
    <row r="419" ht="15.75" customHeight="1" s="199"/>
    <row r="420" ht="15.75" customHeight="1" s="199"/>
    <row r="421" ht="15.75" customHeight="1" s="199"/>
    <row r="422" ht="15.75" customHeight="1" s="199"/>
    <row r="423" ht="15.75" customHeight="1" s="199"/>
    <row r="424" ht="15.75" customHeight="1" s="199"/>
    <row r="425" ht="15.75" customHeight="1" s="199"/>
    <row r="426" ht="15.75" customHeight="1" s="199"/>
    <row r="427" ht="15.75" customHeight="1" s="199"/>
    <row r="428" ht="15.75" customHeight="1" s="199"/>
    <row r="429" ht="15.75" customHeight="1" s="199"/>
    <row r="430" ht="15.75" customHeight="1" s="199"/>
    <row r="431" ht="15.75" customHeight="1" s="199"/>
    <row r="432" ht="15.75" customHeight="1" s="199"/>
    <row r="433" ht="15.75" customHeight="1" s="199"/>
    <row r="434" ht="15.75" customHeight="1" s="199"/>
    <row r="435" ht="15.75" customHeight="1" s="199"/>
    <row r="436" ht="15.75" customHeight="1" s="199"/>
    <row r="437" ht="15.75" customHeight="1" s="199"/>
    <row r="438" ht="15.75" customHeight="1" s="199"/>
    <row r="439" ht="15.75" customHeight="1" s="199"/>
    <row r="440" ht="15.75" customHeight="1" s="199"/>
    <row r="441" ht="15.75" customHeight="1" s="199"/>
    <row r="442" ht="15.75" customHeight="1" s="199"/>
    <row r="443" ht="15.75" customHeight="1" s="199"/>
    <row r="444" ht="15.75" customHeight="1" s="199"/>
    <row r="445" ht="15.75" customHeight="1" s="199"/>
    <row r="446" ht="15.75" customHeight="1" s="199"/>
    <row r="447" ht="15.75" customHeight="1" s="199"/>
    <row r="448" ht="15.75" customHeight="1" s="199"/>
    <row r="449" ht="15.75" customHeight="1" s="199"/>
    <row r="450" ht="15.75" customHeight="1" s="199"/>
    <row r="451" ht="15.75" customHeight="1" s="199"/>
    <row r="452" ht="15.75" customHeight="1" s="199"/>
    <row r="453" ht="15.75" customHeight="1" s="199"/>
    <row r="454" ht="15.75" customHeight="1" s="199"/>
    <row r="455" ht="15.75" customHeight="1" s="199"/>
    <row r="456" ht="15.75" customHeight="1" s="199"/>
    <row r="457" ht="15.75" customHeight="1" s="199"/>
    <row r="458" ht="15.75" customHeight="1" s="199"/>
    <row r="459" ht="15.75" customHeight="1" s="199"/>
    <row r="460" ht="15.75" customHeight="1" s="199"/>
    <row r="461" ht="15.75" customHeight="1" s="199"/>
    <row r="462" ht="15.75" customHeight="1" s="199"/>
    <row r="463" ht="15.75" customHeight="1" s="199"/>
    <row r="464" ht="15.75" customHeight="1" s="199"/>
    <row r="465" ht="15.75" customHeight="1" s="199"/>
    <row r="466" ht="15.75" customHeight="1" s="199"/>
    <row r="467" ht="15.75" customHeight="1" s="199"/>
    <row r="468" ht="15.75" customHeight="1" s="199"/>
    <row r="469" ht="15.75" customHeight="1" s="199"/>
    <row r="470" ht="15.75" customHeight="1" s="199"/>
    <row r="471" ht="15.75" customHeight="1" s="199"/>
    <row r="472" ht="15.75" customHeight="1" s="199"/>
    <row r="473" ht="15.75" customHeight="1" s="199"/>
    <row r="474" ht="15.75" customHeight="1" s="199"/>
    <row r="475" ht="15.75" customHeight="1" s="199"/>
    <row r="476" ht="15.75" customHeight="1" s="199"/>
    <row r="477" ht="15.75" customHeight="1" s="199"/>
    <row r="478" ht="15.75" customHeight="1" s="199"/>
    <row r="479" ht="15.75" customHeight="1" s="199"/>
    <row r="480" ht="15.75" customHeight="1" s="199"/>
    <row r="481" ht="15.75" customHeight="1" s="199"/>
    <row r="482" ht="15.75" customHeight="1" s="199"/>
    <row r="483" ht="15.75" customHeight="1" s="199"/>
    <row r="484" ht="15.75" customHeight="1" s="199"/>
    <row r="485" ht="15.75" customHeight="1" s="199"/>
    <row r="486" ht="15.75" customHeight="1" s="199"/>
    <row r="487" ht="15.75" customHeight="1" s="199"/>
    <row r="488" ht="15.75" customHeight="1" s="199"/>
    <row r="489" ht="15.75" customHeight="1" s="199"/>
    <row r="490" ht="15.75" customHeight="1" s="199"/>
    <row r="491" ht="15.75" customHeight="1" s="199"/>
    <row r="492" ht="15.75" customHeight="1" s="199"/>
    <row r="493" ht="15.75" customHeight="1" s="199"/>
    <row r="494" ht="15.75" customHeight="1" s="199"/>
    <row r="495" ht="15.75" customHeight="1" s="199"/>
    <row r="496" ht="15.75" customHeight="1" s="199"/>
    <row r="497" ht="15.75" customHeight="1" s="199"/>
    <row r="498" ht="15.75" customHeight="1" s="199"/>
    <row r="499" ht="15.75" customHeight="1" s="199"/>
    <row r="500" ht="15.75" customHeight="1" s="199"/>
    <row r="501" ht="15.75" customHeight="1" s="199"/>
    <row r="502" ht="15.75" customHeight="1" s="199"/>
    <row r="503" ht="15.75" customHeight="1" s="199"/>
    <row r="504" ht="15.75" customHeight="1" s="199"/>
    <row r="505" ht="15.75" customHeight="1" s="199"/>
    <row r="506" ht="15.75" customHeight="1" s="199"/>
    <row r="507" ht="15.75" customHeight="1" s="199"/>
    <row r="508" ht="15.75" customHeight="1" s="199"/>
    <row r="509" ht="15.75" customHeight="1" s="199"/>
    <row r="510" ht="15.75" customHeight="1" s="199"/>
    <row r="511" ht="15.75" customHeight="1" s="199"/>
    <row r="512" ht="15.75" customHeight="1" s="199"/>
    <row r="513" ht="15.75" customHeight="1" s="199"/>
    <row r="514" ht="15.75" customHeight="1" s="199"/>
    <row r="515" ht="15.75" customHeight="1" s="199"/>
    <row r="516" ht="15.75" customHeight="1" s="199"/>
    <row r="517" ht="15.75" customHeight="1" s="199"/>
    <row r="518" ht="15.75" customHeight="1" s="199"/>
    <row r="519" ht="15.75" customHeight="1" s="199"/>
    <row r="520" ht="15.75" customHeight="1" s="199"/>
    <row r="521" ht="15.75" customHeight="1" s="199"/>
    <row r="522" ht="15.75" customHeight="1" s="199"/>
    <row r="523" ht="15.75" customHeight="1" s="199"/>
    <row r="524" ht="15.75" customHeight="1" s="199"/>
    <row r="525" ht="15.75" customHeight="1" s="199"/>
    <row r="526" ht="15.75" customHeight="1" s="199"/>
    <row r="527" ht="15.75" customHeight="1" s="199"/>
    <row r="528" ht="15.75" customHeight="1" s="199"/>
    <row r="529" ht="15.75" customHeight="1" s="199"/>
    <row r="530" ht="15.75" customHeight="1" s="199"/>
    <row r="531" ht="15.75" customHeight="1" s="199"/>
    <row r="532" ht="15.75" customHeight="1" s="199"/>
    <row r="533" ht="15.75" customHeight="1" s="199"/>
    <row r="534" ht="15.75" customHeight="1" s="199"/>
    <row r="535" ht="15.75" customHeight="1" s="199"/>
    <row r="536" ht="15.75" customHeight="1" s="199"/>
    <row r="537" ht="15.75" customHeight="1" s="199"/>
    <row r="538" ht="15.75" customHeight="1" s="199"/>
    <row r="539" ht="15.75" customHeight="1" s="199"/>
    <row r="540" ht="15.75" customHeight="1" s="199"/>
    <row r="541" ht="15.75" customHeight="1" s="199"/>
    <row r="542" ht="15.75" customHeight="1" s="199"/>
    <row r="543" ht="15.75" customHeight="1" s="199"/>
    <row r="544" ht="15.75" customHeight="1" s="199"/>
    <row r="545" ht="15.75" customHeight="1" s="199"/>
    <row r="546" ht="15.75" customHeight="1" s="199"/>
    <row r="547" ht="15.75" customHeight="1" s="199"/>
    <row r="548" ht="15.75" customHeight="1" s="199"/>
    <row r="549" ht="15.75" customHeight="1" s="199"/>
    <row r="550" ht="15.75" customHeight="1" s="199"/>
    <row r="551" ht="15.75" customHeight="1" s="199"/>
    <row r="552" ht="15.75" customHeight="1" s="199"/>
    <row r="553" ht="15.75" customHeight="1" s="199"/>
    <row r="554" ht="15.75" customHeight="1" s="199"/>
    <row r="555" ht="15.75" customHeight="1" s="199"/>
    <row r="556" ht="15.75" customHeight="1" s="199"/>
    <row r="557" ht="15.75" customHeight="1" s="199"/>
    <row r="558" ht="15.75" customHeight="1" s="199"/>
    <row r="559" ht="15.75" customHeight="1" s="199"/>
    <row r="560" ht="15.75" customHeight="1" s="199"/>
    <row r="561" ht="15.75" customHeight="1" s="199"/>
    <row r="562" ht="15.75" customHeight="1" s="199"/>
    <row r="563" ht="15.75" customHeight="1" s="199"/>
    <row r="564" ht="15.75" customHeight="1" s="199"/>
    <row r="565" ht="15.75" customHeight="1" s="199"/>
    <row r="566" ht="15.75" customHeight="1" s="199"/>
    <row r="567" ht="15.75" customHeight="1" s="199"/>
    <row r="568" ht="15.75" customHeight="1" s="199"/>
    <row r="569" ht="15.75" customHeight="1" s="199"/>
    <row r="570" ht="15.75" customHeight="1" s="199"/>
    <row r="571" ht="15.75" customHeight="1" s="199"/>
    <row r="572" ht="15.75" customHeight="1" s="199"/>
    <row r="573" ht="15.75" customHeight="1" s="199"/>
    <row r="574" ht="15.75" customHeight="1" s="199"/>
    <row r="575" ht="15.75" customHeight="1" s="199"/>
    <row r="576" ht="15.75" customHeight="1" s="199"/>
    <row r="577" ht="15.75" customHeight="1" s="199"/>
    <row r="578" ht="15.75" customHeight="1" s="199"/>
    <row r="579" ht="15.75" customHeight="1" s="199"/>
    <row r="580" ht="15.75" customHeight="1" s="199"/>
    <row r="581" ht="15.75" customHeight="1" s="199"/>
    <row r="582" ht="15.75" customHeight="1" s="199"/>
    <row r="583" ht="15.75" customHeight="1" s="199"/>
    <row r="584" ht="15.75" customHeight="1" s="199"/>
    <row r="585" ht="15.75" customHeight="1" s="199"/>
    <row r="586" ht="15.75" customHeight="1" s="199"/>
    <row r="587" ht="15.75" customHeight="1" s="199"/>
    <row r="588" ht="15.75" customHeight="1" s="199"/>
    <row r="589" ht="15.75" customHeight="1" s="199"/>
    <row r="590" ht="15.75" customHeight="1" s="199"/>
    <row r="591" ht="15.75" customHeight="1" s="199"/>
    <row r="592" ht="15.75" customHeight="1" s="199"/>
    <row r="593" ht="15.75" customHeight="1" s="199"/>
    <row r="594" ht="15.75" customHeight="1" s="199"/>
    <row r="595" ht="15.75" customHeight="1" s="199"/>
    <row r="596" ht="15.75" customHeight="1" s="199"/>
    <row r="597" ht="15.75" customHeight="1" s="199"/>
    <row r="598" ht="15.75" customHeight="1" s="199"/>
    <row r="599" ht="15.75" customHeight="1" s="199"/>
    <row r="600" ht="15.75" customHeight="1" s="199"/>
    <row r="601" ht="15.75" customHeight="1" s="199"/>
    <row r="602" ht="15.75" customHeight="1" s="199"/>
    <row r="603" ht="15.75" customHeight="1" s="199"/>
    <row r="604" ht="15.75" customHeight="1" s="199"/>
    <row r="605" ht="15.75" customHeight="1" s="199"/>
    <row r="606" ht="15.75" customHeight="1" s="199"/>
    <row r="607" ht="15.75" customHeight="1" s="199"/>
    <row r="608" ht="15.75" customHeight="1" s="199"/>
    <row r="609" ht="15.75" customHeight="1" s="199"/>
    <row r="610" ht="15.75" customHeight="1" s="199"/>
    <row r="611" ht="15.75" customHeight="1" s="199"/>
    <row r="612" ht="15.75" customHeight="1" s="199"/>
    <row r="613" ht="15.75" customHeight="1" s="199"/>
    <row r="614" ht="15.75" customHeight="1" s="199"/>
    <row r="615" ht="15.75" customHeight="1" s="199"/>
    <row r="616" ht="15.75" customHeight="1" s="199"/>
    <row r="617" ht="15.75" customHeight="1" s="199"/>
    <row r="618" ht="15.75" customHeight="1" s="199"/>
    <row r="619" ht="15.75" customHeight="1" s="199"/>
    <row r="620" ht="15.75" customHeight="1" s="199"/>
    <row r="621" ht="15.75" customHeight="1" s="199"/>
    <row r="622" ht="15.75" customHeight="1" s="199"/>
    <row r="623" ht="15.75" customHeight="1" s="199"/>
    <row r="624" ht="15.75" customHeight="1" s="199"/>
    <row r="625" ht="15.75" customHeight="1" s="199"/>
    <row r="626" ht="15.75" customHeight="1" s="199"/>
    <row r="627" ht="15.75" customHeight="1" s="199"/>
    <row r="628" ht="15.75" customHeight="1" s="199"/>
    <row r="629" ht="15.75" customHeight="1" s="199"/>
    <row r="630" ht="15.75" customHeight="1" s="199"/>
    <row r="631" ht="15.75" customHeight="1" s="199"/>
    <row r="632" ht="15.75" customHeight="1" s="199"/>
    <row r="633" ht="15.75" customHeight="1" s="199"/>
    <row r="634" ht="15.75" customHeight="1" s="199"/>
    <row r="635" ht="15.75" customHeight="1" s="199"/>
    <row r="636" ht="15.75" customHeight="1" s="199"/>
    <row r="637" ht="15.75" customHeight="1" s="199"/>
    <row r="638" ht="15.75" customHeight="1" s="199"/>
    <row r="639" ht="15.75" customHeight="1" s="199"/>
    <row r="640" ht="15.75" customHeight="1" s="199"/>
    <row r="641" ht="15.75" customHeight="1" s="199"/>
    <row r="642" ht="15.75" customHeight="1" s="199"/>
    <row r="643" ht="15.75" customHeight="1" s="199"/>
    <row r="644" ht="15.75" customHeight="1" s="199"/>
    <row r="645" ht="15.75" customHeight="1" s="199"/>
    <row r="646" ht="15.75" customHeight="1" s="199"/>
    <row r="647" ht="15.75" customHeight="1" s="199"/>
    <row r="648" ht="15.75" customHeight="1" s="199"/>
    <row r="649" ht="15.75" customHeight="1" s="199"/>
    <row r="650" ht="15.75" customHeight="1" s="199"/>
    <row r="651" ht="15.75" customHeight="1" s="199"/>
    <row r="652" ht="15.75" customHeight="1" s="199"/>
    <row r="653" ht="15.75" customHeight="1" s="199"/>
    <row r="654" ht="15.75" customHeight="1" s="199"/>
    <row r="655" ht="15.75" customHeight="1" s="199"/>
    <row r="656" ht="15.75" customHeight="1" s="199"/>
    <row r="657" ht="15.75" customHeight="1" s="199"/>
    <row r="658" ht="15.75" customHeight="1" s="199"/>
    <row r="659" ht="15.75" customHeight="1" s="199"/>
    <row r="660" ht="15.75" customHeight="1" s="199"/>
    <row r="661" ht="15.75" customHeight="1" s="199"/>
    <row r="662" ht="15.75" customHeight="1" s="199"/>
    <row r="663" ht="15.75" customHeight="1" s="199"/>
    <row r="664" ht="15.75" customHeight="1" s="199"/>
    <row r="665" ht="15.75" customHeight="1" s="199"/>
    <row r="666" ht="15.75" customHeight="1" s="199"/>
    <row r="667" ht="15.75" customHeight="1" s="199"/>
    <row r="668" ht="15.75" customHeight="1" s="199"/>
    <row r="669" ht="15.75" customHeight="1" s="199"/>
    <row r="670" ht="15.75" customHeight="1" s="199"/>
    <row r="671" ht="15.75" customHeight="1" s="199"/>
    <row r="672" ht="15.75" customHeight="1" s="199"/>
    <row r="673" ht="15.75" customHeight="1" s="199"/>
    <row r="674" ht="15.75" customHeight="1" s="199"/>
    <row r="675" ht="15.75" customHeight="1" s="199"/>
    <row r="676" ht="15.75" customHeight="1" s="199"/>
    <row r="677" ht="15.75" customHeight="1" s="199"/>
    <row r="678" ht="15.75" customHeight="1" s="199"/>
    <row r="679" ht="15.75" customHeight="1" s="199"/>
    <row r="680" ht="15.75" customHeight="1" s="199"/>
    <row r="681" ht="15.75" customHeight="1" s="199"/>
    <row r="682" ht="15.75" customHeight="1" s="199"/>
    <row r="683" ht="15.75" customHeight="1" s="199"/>
    <row r="684" ht="15.75" customHeight="1" s="199"/>
    <row r="685" ht="15.75" customHeight="1" s="199"/>
    <row r="686" ht="15.75" customHeight="1" s="199"/>
    <row r="687" ht="15.75" customHeight="1" s="199"/>
    <row r="688" ht="15.75" customHeight="1" s="199"/>
    <row r="689" ht="15.75" customHeight="1" s="199"/>
    <row r="690" ht="15.75" customHeight="1" s="199"/>
    <row r="691" ht="15.75" customHeight="1" s="199"/>
    <row r="692" ht="15.75" customHeight="1" s="199"/>
    <row r="693" ht="15.75" customHeight="1" s="199"/>
    <row r="694" ht="15.75" customHeight="1" s="199"/>
    <row r="695" ht="15.75" customHeight="1" s="199"/>
    <row r="696" ht="15.75" customHeight="1" s="199"/>
    <row r="697" ht="15.75" customHeight="1" s="199"/>
    <row r="698" ht="15.75" customHeight="1" s="199"/>
    <row r="699" ht="15.75" customHeight="1" s="199"/>
    <row r="700" ht="15.75" customHeight="1" s="199"/>
    <row r="701" ht="15.75" customHeight="1" s="199"/>
    <row r="702" ht="15.75" customHeight="1" s="199"/>
    <row r="703" ht="15.75" customHeight="1" s="199"/>
    <row r="704" ht="15.75" customHeight="1" s="199"/>
    <row r="705" ht="15.75" customHeight="1" s="199"/>
    <row r="706" ht="15.75" customHeight="1" s="199"/>
    <row r="707" ht="15.75" customHeight="1" s="199"/>
    <row r="708" ht="15.75" customHeight="1" s="199"/>
    <row r="709" ht="15.75" customHeight="1" s="199"/>
    <row r="710" ht="15.75" customHeight="1" s="199"/>
    <row r="711" ht="15.75" customHeight="1" s="199"/>
    <row r="712" ht="15.75" customHeight="1" s="199"/>
    <row r="713" ht="15.75" customHeight="1" s="199"/>
    <row r="714" ht="15.75" customHeight="1" s="199"/>
    <row r="715" ht="15.75" customHeight="1" s="199"/>
    <row r="716" ht="15.75" customHeight="1" s="199"/>
    <row r="717" ht="15.75" customHeight="1" s="199"/>
    <row r="718" ht="15.75" customHeight="1" s="199"/>
    <row r="719" ht="15.75" customHeight="1" s="199"/>
    <row r="720" ht="15.75" customHeight="1" s="199"/>
    <row r="721" ht="15.75" customHeight="1" s="199"/>
    <row r="722" ht="15.75" customHeight="1" s="199"/>
    <row r="723" ht="15.75" customHeight="1" s="199"/>
    <row r="724" ht="15.75" customHeight="1" s="199"/>
    <row r="725" ht="15.75" customHeight="1" s="199"/>
    <row r="726" ht="15.75" customHeight="1" s="199"/>
    <row r="727" ht="15.75" customHeight="1" s="199"/>
    <row r="728" ht="15.75" customHeight="1" s="199"/>
    <row r="729" ht="15.75" customHeight="1" s="199"/>
    <row r="730" ht="15.75" customHeight="1" s="199"/>
    <row r="731" ht="15.75" customHeight="1" s="199"/>
    <row r="732" ht="15.75" customHeight="1" s="199"/>
    <row r="733" ht="15.75" customHeight="1" s="199"/>
    <row r="734" ht="15.75" customHeight="1" s="199"/>
    <row r="735" ht="15.75" customHeight="1" s="199"/>
    <row r="736" ht="15.75" customHeight="1" s="199"/>
    <row r="737" ht="15.75" customHeight="1" s="199"/>
    <row r="738" ht="15.75" customHeight="1" s="199"/>
    <row r="739" ht="15.75" customHeight="1" s="199"/>
    <row r="740" ht="15.75" customHeight="1" s="199"/>
    <row r="741" ht="15.75" customHeight="1" s="199"/>
    <row r="742" ht="15.75" customHeight="1" s="199"/>
    <row r="743" ht="15.75" customHeight="1" s="199"/>
    <row r="744" ht="15.75" customHeight="1" s="199"/>
    <row r="745" ht="15.75" customHeight="1" s="199"/>
    <row r="746" ht="15.75" customHeight="1" s="199"/>
    <row r="747" ht="15.75" customHeight="1" s="199"/>
    <row r="748" ht="15.75" customHeight="1" s="199"/>
    <row r="749" ht="15.75" customHeight="1" s="199"/>
    <row r="750" ht="15.75" customHeight="1" s="199"/>
    <row r="751" ht="15.75" customHeight="1" s="199"/>
    <row r="752" ht="15.75" customHeight="1" s="199"/>
    <row r="753" ht="15.75" customHeight="1" s="199"/>
    <row r="754" ht="15.75" customHeight="1" s="199"/>
    <row r="755" ht="15.75" customHeight="1" s="199"/>
    <row r="756" ht="15.75" customHeight="1" s="199"/>
    <row r="757" ht="15.75" customHeight="1" s="199"/>
    <row r="758" ht="15.75" customHeight="1" s="199"/>
    <row r="759" ht="15.75" customHeight="1" s="199"/>
    <row r="760" ht="15.75" customHeight="1" s="199"/>
    <row r="761" ht="15.75" customHeight="1" s="199"/>
    <row r="762" ht="15.75" customHeight="1" s="199"/>
    <row r="763" ht="15.75" customHeight="1" s="199"/>
    <row r="764" ht="15.75" customHeight="1" s="199"/>
    <row r="765" ht="15.75" customHeight="1" s="199"/>
    <row r="766" ht="15.75" customHeight="1" s="199"/>
    <row r="767" ht="15.75" customHeight="1" s="199"/>
    <row r="768" ht="15.75" customHeight="1" s="199"/>
    <row r="769" ht="15.75" customHeight="1" s="199"/>
    <row r="770" ht="15.75" customHeight="1" s="199"/>
    <row r="771" ht="15.75" customHeight="1" s="199"/>
    <row r="772" ht="15.75" customHeight="1" s="199"/>
    <row r="773" ht="15.75" customHeight="1" s="199"/>
    <row r="774" ht="15.75" customHeight="1" s="199"/>
    <row r="775" ht="15.75" customHeight="1" s="199"/>
    <row r="776" ht="15.75" customHeight="1" s="199"/>
    <row r="777" ht="15.75" customHeight="1" s="199"/>
    <row r="778" ht="15.75" customHeight="1" s="199"/>
    <row r="779" ht="15.75" customHeight="1" s="199"/>
    <row r="780" ht="15.75" customHeight="1" s="199"/>
    <row r="781" ht="15.75" customHeight="1" s="199"/>
    <row r="782" ht="15.75" customHeight="1" s="199"/>
    <row r="783" ht="15.75" customHeight="1" s="199"/>
    <row r="784" ht="15.75" customHeight="1" s="199"/>
    <row r="785" ht="15.75" customHeight="1" s="199"/>
    <row r="786" ht="15.75" customHeight="1" s="199"/>
    <row r="787" ht="15.75" customHeight="1" s="199"/>
    <row r="788" ht="15.75" customHeight="1" s="199"/>
    <row r="789" ht="15.75" customHeight="1" s="199"/>
    <row r="790" ht="15.75" customHeight="1" s="199"/>
    <row r="791" ht="15.75" customHeight="1" s="199"/>
    <row r="792" ht="15.75" customHeight="1" s="199"/>
    <row r="793" ht="15.75" customHeight="1" s="199"/>
    <row r="794" ht="15.75" customHeight="1" s="199"/>
    <row r="795" ht="15.75" customHeight="1" s="199"/>
    <row r="796" ht="15.75" customHeight="1" s="199"/>
    <row r="797" ht="15.75" customHeight="1" s="199"/>
    <row r="798" ht="15.75" customHeight="1" s="199"/>
    <row r="799" ht="15.75" customHeight="1" s="199"/>
    <row r="800" ht="15.75" customHeight="1" s="199"/>
    <row r="801" ht="15.75" customHeight="1" s="199"/>
    <row r="802" ht="15.75" customHeight="1" s="199"/>
    <row r="803" ht="15.75" customHeight="1" s="199"/>
    <row r="804" ht="15.75" customHeight="1" s="199"/>
    <row r="805" ht="15.75" customHeight="1" s="199"/>
    <row r="806" ht="15.75" customHeight="1" s="199"/>
    <row r="807" ht="15.75" customHeight="1" s="199"/>
    <row r="808" ht="15.75" customHeight="1" s="199"/>
    <row r="809" ht="15.75" customHeight="1" s="199"/>
    <row r="810" ht="15.75" customHeight="1" s="199"/>
    <row r="811" ht="15.75" customHeight="1" s="199"/>
    <row r="812" ht="15.75" customHeight="1" s="199"/>
    <row r="813" ht="15.75" customHeight="1" s="199"/>
    <row r="814" ht="15.75" customHeight="1" s="199"/>
    <row r="815" ht="15.75" customHeight="1" s="199"/>
    <row r="816" ht="15.75" customHeight="1" s="199"/>
    <row r="817" ht="15.75" customHeight="1" s="199"/>
    <row r="818" ht="15.75" customHeight="1" s="199"/>
    <row r="819" ht="15.75" customHeight="1" s="199"/>
    <row r="820" ht="15.75" customHeight="1" s="199"/>
    <row r="821" ht="15.75" customHeight="1" s="199"/>
    <row r="822" ht="15.75" customHeight="1" s="199"/>
    <row r="823" ht="15.75" customHeight="1" s="199"/>
    <row r="824" ht="15.75" customHeight="1" s="199"/>
    <row r="825" ht="15.75" customHeight="1" s="199"/>
    <row r="826" ht="15.75" customHeight="1" s="199"/>
    <row r="827" ht="15.75" customHeight="1" s="199"/>
    <row r="828" ht="15.75" customHeight="1" s="199"/>
    <row r="829" ht="15.75" customHeight="1" s="199"/>
    <row r="830" ht="15.75" customHeight="1" s="199"/>
    <row r="831" ht="15.75" customHeight="1" s="199"/>
    <row r="832" ht="15.75" customHeight="1" s="199"/>
    <row r="833" ht="15.75" customHeight="1" s="199"/>
    <row r="834" ht="15.75" customHeight="1" s="199"/>
    <row r="835" ht="15.75" customHeight="1" s="199"/>
    <row r="836" ht="15.75" customHeight="1" s="199"/>
    <row r="837" ht="15.75" customHeight="1" s="199"/>
    <row r="838" ht="15.75" customHeight="1" s="199"/>
    <row r="839" ht="15.75" customHeight="1" s="199"/>
    <row r="840" ht="15.75" customHeight="1" s="199"/>
    <row r="841" ht="15.75" customHeight="1" s="199"/>
    <row r="842" ht="15.75" customHeight="1" s="199"/>
    <row r="843" ht="15.75" customHeight="1" s="199"/>
    <row r="844" ht="15.75" customHeight="1" s="199"/>
    <row r="845" ht="15.75" customHeight="1" s="199"/>
    <row r="846" ht="15.75" customHeight="1" s="199"/>
    <row r="847" ht="15.75" customHeight="1" s="199"/>
    <row r="848" ht="15.75" customHeight="1" s="199"/>
    <row r="849" ht="15.75" customHeight="1" s="199"/>
    <row r="850" ht="15.75" customHeight="1" s="199"/>
    <row r="851" ht="15.75" customHeight="1" s="199"/>
    <row r="852" ht="15.75" customHeight="1" s="199"/>
    <row r="853" ht="15.75" customHeight="1" s="199"/>
    <row r="854" ht="15.75" customHeight="1" s="199"/>
    <row r="855" ht="15.75" customHeight="1" s="199"/>
    <row r="856" ht="15.75" customHeight="1" s="199"/>
    <row r="857" ht="15.75" customHeight="1" s="199"/>
    <row r="858" ht="15.75" customHeight="1" s="199"/>
    <row r="859" ht="15.75" customHeight="1" s="199"/>
    <row r="860" ht="15.75" customHeight="1" s="199"/>
    <row r="861" ht="15.75" customHeight="1" s="199"/>
    <row r="862" ht="15.75" customHeight="1" s="199"/>
    <row r="863" ht="15.75" customHeight="1" s="199"/>
    <row r="864" ht="15.75" customHeight="1" s="199"/>
    <row r="865" ht="15.75" customHeight="1" s="199"/>
    <row r="866" ht="15.75" customHeight="1" s="199"/>
    <row r="867" ht="15.75" customHeight="1" s="199"/>
    <row r="868" ht="15.75" customHeight="1" s="199"/>
    <row r="869" ht="15.75" customHeight="1" s="199"/>
    <row r="870" ht="15.75" customHeight="1" s="199"/>
    <row r="871" ht="15.75" customHeight="1" s="199"/>
    <row r="872" ht="15.75" customHeight="1" s="199"/>
    <row r="873" ht="15.75" customHeight="1" s="199"/>
    <row r="874" ht="15.75" customHeight="1" s="199"/>
    <row r="875" ht="15.75" customHeight="1" s="199"/>
    <row r="876" ht="15.75" customHeight="1" s="199"/>
    <row r="877" ht="15.75" customHeight="1" s="199"/>
    <row r="878" ht="15.75" customHeight="1" s="199"/>
    <row r="879" ht="15.75" customHeight="1" s="199"/>
    <row r="880" ht="15.75" customHeight="1" s="199"/>
    <row r="881" ht="15.75" customHeight="1" s="199"/>
    <row r="882" ht="15.75" customHeight="1" s="199"/>
    <row r="883" ht="15.75" customHeight="1" s="199"/>
    <row r="884" ht="15.75" customHeight="1" s="199"/>
    <row r="885" ht="15.75" customHeight="1" s="199"/>
    <row r="886" ht="15.75" customHeight="1" s="199"/>
    <row r="887" ht="15.75" customHeight="1" s="199"/>
    <row r="888" ht="15.75" customHeight="1" s="199"/>
    <row r="889" ht="15.75" customHeight="1" s="199"/>
    <row r="890" ht="15.75" customHeight="1" s="199"/>
    <row r="891" ht="15.75" customHeight="1" s="199"/>
    <row r="892" ht="15.75" customHeight="1" s="199"/>
    <row r="893" ht="15.75" customHeight="1" s="199"/>
    <row r="894" ht="15.75" customHeight="1" s="199"/>
    <row r="895" ht="15.75" customHeight="1" s="199"/>
    <row r="896" ht="15.75" customHeight="1" s="199"/>
    <row r="897" ht="15.75" customHeight="1" s="199"/>
    <row r="898" ht="15.75" customHeight="1" s="199"/>
    <row r="899" ht="15.75" customHeight="1" s="199"/>
    <row r="900" ht="15.75" customHeight="1" s="199"/>
    <row r="901" ht="15.75" customHeight="1" s="199"/>
    <row r="902" ht="15.75" customHeight="1" s="199"/>
    <row r="903" ht="15.75" customHeight="1" s="199"/>
    <row r="904" ht="15.75" customHeight="1" s="199"/>
    <row r="905" ht="15.75" customHeight="1" s="199"/>
    <row r="906" ht="15.75" customHeight="1" s="199"/>
    <row r="907" ht="15.75" customHeight="1" s="199"/>
    <row r="908" ht="15.75" customHeight="1" s="199"/>
    <row r="909" ht="15.75" customHeight="1" s="199"/>
    <row r="910" ht="15.75" customHeight="1" s="199"/>
    <row r="911" ht="15.75" customHeight="1" s="199"/>
    <row r="912" ht="15.75" customHeight="1" s="199"/>
    <row r="913" ht="15.75" customHeight="1" s="199"/>
    <row r="914" ht="15.75" customHeight="1" s="199"/>
    <row r="915" ht="15.75" customHeight="1" s="199"/>
    <row r="916" ht="15.75" customHeight="1" s="199"/>
    <row r="917" ht="15.75" customHeight="1" s="199"/>
    <row r="918" ht="15.75" customHeight="1" s="199"/>
    <row r="919" ht="15.75" customHeight="1" s="199"/>
    <row r="920" ht="15.75" customHeight="1" s="199"/>
    <row r="921" ht="15.75" customHeight="1" s="199"/>
    <row r="922" ht="15.75" customHeight="1" s="199"/>
    <row r="923" ht="15.75" customHeight="1" s="199"/>
    <row r="924" ht="15.75" customHeight="1" s="199"/>
    <row r="925" ht="15.75" customHeight="1" s="199"/>
    <row r="926" ht="15.75" customHeight="1" s="199"/>
    <row r="927" ht="15.75" customHeight="1" s="199"/>
    <row r="928" ht="15.75" customHeight="1" s="199"/>
    <row r="929" ht="15.75" customHeight="1" s="199"/>
    <row r="930" ht="15.75" customHeight="1" s="199"/>
    <row r="931" ht="15.75" customHeight="1" s="199"/>
    <row r="932" ht="15.75" customHeight="1" s="199"/>
    <row r="933" ht="15.75" customHeight="1" s="199"/>
    <row r="934" ht="15.75" customHeight="1" s="199"/>
    <row r="935" ht="15.75" customHeight="1" s="199"/>
    <row r="936" ht="15.75" customHeight="1" s="199"/>
    <row r="937" ht="15.75" customHeight="1" s="199"/>
    <row r="938" ht="15.75" customHeight="1" s="199"/>
    <row r="939" ht="15.75" customHeight="1" s="199"/>
    <row r="940" ht="15.75" customHeight="1" s="199"/>
    <row r="941" ht="15.75" customHeight="1" s="199"/>
    <row r="942" ht="15.75" customHeight="1" s="199"/>
    <row r="943" ht="15.75" customHeight="1" s="199"/>
    <row r="944" ht="15.75" customHeight="1" s="199"/>
    <row r="945" ht="15.75" customHeight="1" s="199"/>
    <row r="946" ht="15.75" customHeight="1" s="199"/>
    <row r="947" ht="15.75" customHeight="1" s="199"/>
    <row r="948" ht="15.75" customHeight="1" s="199"/>
    <row r="949" ht="15.75" customHeight="1" s="199"/>
    <row r="950" ht="15.75" customHeight="1" s="199"/>
    <row r="951" ht="15.75" customHeight="1" s="199"/>
    <row r="952" ht="15.75" customHeight="1" s="199"/>
    <row r="953" ht="15.75" customHeight="1" s="199"/>
    <row r="954" ht="15.75" customHeight="1" s="199"/>
    <row r="955" ht="15.75" customHeight="1" s="199"/>
    <row r="956" ht="15.75" customHeight="1" s="199"/>
    <row r="957" ht="15.75" customHeight="1" s="199"/>
    <row r="958" ht="15.75" customHeight="1" s="199"/>
    <row r="959" ht="15.75" customHeight="1" s="199"/>
    <row r="960" ht="15.75" customHeight="1" s="199"/>
    <row r="961" ht="15.75" customHeight="1" s="199"/>
    <row r="962" ht="15.75" customHeight="1" s="199"/>
    <row r="963" ht="15.75" customHeight="1" s="199"/>
    <row r="964" ht="15.75" customHeight="1" s="199"/>
    <row r="965" ht="15.75" customHeight="1" s="199"/>
    <row r="966" ht="15.75" customHeight="1" s="199"/>
    <row r="967" ht="15.75" customHeight="1" s="199"/>
    <row r="968" ht="15.75" customHeight="1" s="199"/>
    <row r="969" ht="15.75" customHeight="1" s="199"/>
    <row r="970" ht="15.75" customHeight="1" s="199"/>
    <row r="971" ht="15.75" customHeight="1" s="199"/>
    <row r="972" ht="15.75" customHeight="1" s="199"/>
    <row r="973" ht="15.75" customHeight="1" s="199"/>
    <row r="974" ht="15.75" customHeight="1" s="199"/>
    <row r="975" ht="15.75" customHeight="1" s="199"/>
    <row r="976" ht="15.75" customHeight="1" s="199"/>
    <row r="977" ht="15.75" customHeight="1" s="199"/>
    <row r="978" ht="15.75" customHeight="1" s="199"/>
    <row r="979" ht="15.75" customHeight="1" s="199"/>
    <row r="980" ht="15.75" customHeight="1" s="199"/>
    <row r="981" ht="15.75" customHeight="1" s="199"/>
    <row r="982" ht="15.75" customHeight="1" s="199"/>
    <row r="983" ht="15.75" customHeight="1" s="199"/>
    <row r="984" ht="15.75" customHeight="1" s="199"/>
    <row r="985" ht="15.75" customHeight="1" s="199"/>
    <row r="986" ht="15.75" customHeight="1" s="199"/>
    <row r="987" ht="15.75" customHeight="1" s="199"/>
    <row r="988" ht="15.75" customHeight="1" s="199"/>
    <row r="989" ht="15.75" customHeight="1" s="199"/>
    <row r="990" ht="15.75" customHeight="1" s="199"/>
    <row r="991" ht="15.75" customHeight="1" s="199"/>
    <row r="992" ht="15.75" customHeight="1" s="199"/>
    <row r="993" ht="15.75" customHeight="1" s="199"/>
    <row r="994" ht="15.75" customHeight="1" s="199"/>
    <row r="995" ht="15.75" customHeight="1" s="199"/>
    <row r="996" ht="15.75" customHeight="1" s="199"/>
    <row r="997" ht="15.75" customHeight="1" s="199"/>
    <row r="998" ht="15.75" customHeight="1" s="199"/>
    <row r="999" ht="15.75" customHeight="1" s="199"/>
    <row r="1000" ht="15.75" customHeight="1" s="199"/>
  </sheetData>
  <mergeCells count="54">
    <mergeCell ref="A41:C41"/>
    <mergeCell ref="B47:C47"/>
    <mergeCell ref="B62:C62"/>
    <mergeCell ref="B54:C54"/>
    <mergeCell ref="B7:C7"/>
    <mergeCell ref="B59:C59"/>
    <mergeCell ref="B3:C3"/>
    <mergeCell ref="B46:C46"/>
    <mergeCell ref="A56:C56"/>
    <mergeCell ref="B22:C22"/>
    <mergeCell ref="B43:C43"/>
    <mergeCell ref="B58:C58"/>
    <mergeCell ref="B39:C39"/>
    <mergeCell ref="B52:C52"/>
    <mergeCell ref="B21:C21"/>
    <mergeCell ref="B2:C2"/>
    <mergeCell ref="B48:C48"/>
    <mergeCell ref="B11:C11"/>
    <mergeCell ref="B42:C42"/>
    <mergeCell ref="B23:C23"/>
    <mergeCell ref="B60:C60"/>
    <mergeCell ref="B14:C14"/>
    <mergeCell ref="B17:C17"/>
    <mergeCell ref="B57:C57"/>
    <mergeCell ref="B8:C8"/>
    <mergeCell ref="B53:C53"/>
    <mergeCell ref="A5:A6"/>
    <mergeCell ref="B13:C13"/>
    <mergeCell ref="A28:C28"/>
    <mergeCell ref="B38:C38"/>
    <mergeCell ref="A8:A9"/>
    <mergeCell ref="A44:C44"/>
    <mergeCell ref="A17:A18"/>
    <mergeCell ref="B19:C19"/>
    <mergeCell ref="B37:C37"/>
    <mergeCell ref="B10:C10"/>
    <mergeCell ref="A30:C30"/>
    <mergeCell ref="B40:C40"/>
    <mergeCell ref="B49:C49"/>
    <mergeCell ref="A24:C24"/>
    <mergeCell ref="A51:C51"/>
    <mergeCell ref="B55:C55"/>
    <mergeCell ref="B15:C15"/>
    <mergeCell ref="B5:C5"/>
    <mergeCell ref="B20:C20"/>
    <mergeCell ref="A61:C61"/>
    <mergeCell ref="B45:C45"/>
    <mergeCell ref="A15:A16"/>
    <mergeCell ref="B36:C36"/>
    <mergeCell ref="B50:C50"/>
    <mergeCell ref="B63:C63"/>
    <mergeCell ref="B35:C35"/>
    <mergeCell ref="B4:C4"/>
    <mergeCell ref="A11:A12"/>
  </mergeCells>
  <hyperlinks>
    <hyperlink xmlns:r="http://schemas.openxmlformats.org/officeDocument/2006/relationships" ref="C6" r:id="rId1"/>
  </hyperlink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D17"/>
  <sheetViews>
    <sheetView workbookViewId="0">
      <selection activeCell="A1" sqref="A1"/>
    </sheetView>
  </sheetViews>
  <sheetFormatPr baseColWidth="8" defaultColWidth="12.63" defaultRowHeight="15" customHeight="1"/>
  <cols>
    <col width="11.13" customWidth="1" style="199" min="1" max="3"/>
    <col width="6.38" customWidth="1" style="199" min="4" max="27"/>
    <col width="11.13" customWidth="1" style="199" min="28" max="30"/>
  </cols>
  <sheetData>
    <row r="1" ht="15.75" customHeight="1" s="199">
      <c r="A1" s="102" t="inlineStr">
        <is>
          <t>Na tomto listu můžete podrobněji zobrazit časové rozložení aktivit a výstupů projektu v případě, že rozdělení pouze do let (2027, 2028) na předchozím listu není dostatečně přehledné.
Vyplnění není povinné, může však být výhodou pro lepší porozumení logice projektu a nákladům v rozpočtu na jednotlivé roky.</t>
        </is>
      </c>
      <c r="B1" s="103" t="n"/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3" t="n"/>
      <c r="AD1" s="103" t="n"/>
    </row>
    <row r="2" ht="15.75" customHeight="1" s="199">
      <c r="A2" s="104" t="n"/>
      <c r="B2" s="103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  <c r="AA2" s="103" t="n"/>
      <c r="AB2" s="103" t="n"/>
      <c r="AC2" s="103" t="n"/>
      <c r="AD2" s="103" t="n"/>
    </row>
    <row r="3" ht="15.75" customHeight="1" s="199">
      <c r="B3" s="103" t="inlineStr">
        <is>
          <t>odpovědnost</t>
        </is>
      </c>
      <c r="C3" s="103" t="inlineStr">
        <is>
          <t>poznámka</t>
        </is>
      </c>
      <c r="D3" s="105" t="inlineStr">
        <is>
          <t>1/27</t>
        </is>
      </c>
      <c r="E3" s="105" t="inlineStr">
        <is>
          <t>2/27</t>
        </is>
      </c>
      <c r="F3" s="105" t="inlineStr">
        <is>
          <t>3/27</t>
        </is>
      </c>
      <c r="G3" s="105" t="inlineStr">
        <is>
          <t>4/27</t>
        </is>
      </c>
      <c r="H3" s="105" t="inlineStr">
        <is>
          <t>5/27</t>
        </is>
      </c>
      <c r="I3" s="105" t="inlineStr">
        <is>
          <t>6/27</t>
        </is>
      </c>
      <c r="J3" s="105" t="inlineStr">
        <is>
          <t>7/27</t>
        </is>
      </c>
      <c r="K3" s="105" t="inlineStr">
        <is>
          <t>8/27</t>
        </is>
      </c>
      <c r="L3" s="105" t="inlineStr">
        <is>
          <t>9/27</t>
        </is>
      </c>
      <c r="M3" s="105" t="inlineStr">
        <is>
          <t>10/27</t>
        </is>
      </c>
      <c r="N3" s="105" t="inlineStr">
        <is>
          <t>11/27</t>
        </is>
      </c>
      <c r="O3" s="105" t="inlineStr">
        <is>
          <t>12/27</t>
        </is>
      </c>
      <c r="P3" s="106" t="inlineStr">
        <is>
          <t>1/28</t>
        </is>
      </c>
      <c r="Q3" s="106" t="inlineStr">
        <is>
          <t>2/28</t>
        </is>
      </c>
      <c r="R3" s="106" t="inlineStr">
        <is>
          <t>3/28</t>
        </is>
      </c>
      <c r="S3" s="106" t="inlineStr">
        <is>
          <t>4/28</t>
        </is>
      </c>
      <c r="T3" s="106" t="inlineStr">
        <is>
          <t>5/28</t>
        </is>
      </c>
      <c r="U3" s="106" t="inlineStr">
        <is>
          <t>6/28</t>
        </is>
      </c>
      <c r="V3" s="106" t="inlineStr">
        <is>
          <t>7/28</t>
        </is>
      </c>
      <c r="W3" s="106" t="inlineStr">
        <is>
          <t>8/28</t>
        </is>
      </c>
      <c r="X3" s="106" t="inlineStr">
        <is>
          <t>9/28</t>
        </is>
      </c>
      <c r="Y3" s="106" t="inlineStr">
        <is>
          <t>10/28</t>
        </is>
      </c>
      <c r="Z3" s="106" t="inlineStr">
        <is>
          <t>11/28</t>
        </is>
      </c>
      <c r="AA3" s="106" t="inlineStr">
        <is>
          <t>12/28</t>
        </is>
      </c>
      <c r="AB3" s="103" t="n"/>
      <c r="AC3" s="103" t="n"/>
      <c r="AD3" s="103" t="n"/>
    </row>
    <row r="4" ht="15.75" customHeight="1" s="199">
      <c r="A4" s="107" t="inlineStr">
        <is>
          <t>Výstup 1: Make &amp; Design Lab — pilotní celoroční provoz</t>
        </is>
      </c>
      <c r="B4" s="108" t="n"/>
      <c r="C4" s="108" t="n"/>
      <c r="D4" s="108" t="n"/>
      <c r="E4" s="108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8" t="n"/>
      <c r="O4" s="108" t="n"/>
      <c r="P4" s="108" t="n"/>
      <c r="Q4" s="108" t="n"/>
      <c r="R4" s="108" t="n"/>
      <c r="S4" s="108" t="n"/>
      <c r="T4" s="108" t="n"/>
      <c r="U4" s="108" t="n"/>
      <c r="V4" s="108" t="n"/>
      <c r="W4" s="108" t="n"/>
      <c r="X4" s="108" t="n"/>
      <c r="Y4" s="108" t="n"/>
      <c r="Z4" s="108" t="n"/>
      <c r="AA4" s="108" t="n"/>
      <c r="AB4" s="109" t="n"/>
      <c r="AC4" s="109" t="n"/>
      <c r="AD4" s="109" t="n"/>
    </row>
    <row r="5" ht="15.75" customHeight="1" s="199">
      <c r="A5" s="103" t="inlineStr">
        <is>
          <t>1.1 Příprava a mapování komunity</t>
        </is>
      </c>
      <c r="B5" s="0" t="inlineStr">
        <is>
          <t>Ondřej (MM)</t>
        </is>
      </c>
      <c r="C5" s="0" t="inlineStr">
        <is>
          <t>Příprava komunity, kurikula a značky</t>
        </is>
      </c>
      <c r="G5" s="0" t="inlineStr">
        <is>
          <t>X</t>
        </is>
      </c>
      <c r="H5" s="0" t="inlineStr">
        <is>
          <t>X</t>
        </is>
      </c>
      <c r="I5" s="0" t="inlineStr">
        <is>
          <t>X</t>
        </is>
      </c>
      <c r="J5" s="0" t="inlineStr">
        <is>
          <t>X</t>
        </is>
      </c>
      <c r="K5" s="0" t="inlineStr">
        <is>
          <t>X</t>
        </is>
      </c>
      <c r="L5" s="0" t="inlineStr">
        <is>
          <t>X</t>
        </is>
      </c>
      <c r="M5" s="0" t="inlineStr">
        <is>
          <t>X</t>
        </is>
      </c>
      <c r="N5" s="0" t="inlineStr">
        <is>
          <t>X</t>
        </is>
      </c>
      <c r="O5" s="0" t="inlineStr">
        <is>
          <t>X</t>
        </is>
      </c>
      <c r="AB5" s="109" t="n"/>
      <c r="AC5" s="109" t="n"/>
      <c r="AD5" s="109" t="n"/>
    </row>
    <row r="6" ht="15.75" customHeight="1" s="199">
      <c r="A6" s="103" t="inlineStr">
        <is>
          <t>1.2 Příprava a úprava prostoru</t>
        </is>
      </c>
      <c r="B6" s="0" t="inlineStr">
        <is>
          <t>Dan (MM) + Jana (JVTP)</t>
        </is>
      </c>
      <c r="C6" s="0" t="inlineStr">
        <is>
          <t>Zajištění a technická úprava prostoru v ČB</t>
        </is>
      </c>
      <c r="M6" s="0" t="inlineStr">
        <is>
          <t>X</t>
        </is>
      </c>
      <c r="N6" s="0" t="inlineStr">
        <is>
          <t>X</t>
        </is>
      </c>
      <c r="O6" s="0" t="inlineStr">
        <is>
          <t>X</t>
        </is>
      </c>
      <c r="AB6" s="109" t="n"/>
      <c r="AC6" s="109" t="n"/>
      <c r="AD6" s="109" t="n"/>
    </row>
    <row r="7" ht="15.75" customHeight="1" s="199">
      <c r="A7" s="103" t="inlineStr">
        <is>
          <t>1.3 Školní a komunitní provoz</t>
        </is>
      </c>
      <c r="B7" s="0" t="inlineStr">
        <is>
          <t>Dan (MM)</t>
        </is>
      </c>
      <c r="C7" s="0" t="inlineStr">
        <is>
          <t>Dopolední programy, odpolední veřejnost</t>
        </is>
      </c>
      <c r="Q7" s="0" t="inlineStr">
        <is>
          <t>X</t>
        </is>
      </c>
      <c r="R7" s="0" t="inlineStr">
        <is>
          <t>X</t>
        </is>
      </c>
      <c r="S7" s="0" t="inlineStr">
        <is>
          <t>X</t>
        </is>
      </c>
      <c r="T7" s="0" t="inlineStr">
        <is>
          <t>X</t>
        </is>
      </c>
      <c r="X7" s="0" t="inlineStr">
        <is>
          <t>X</t>
        </is>
      </c>
      <c r="Y7" s="0" t="inlineStr">
        <is>
          <t>X</t>
        </is>
      </c>
      <c r="Z7" s="0" t="inlineStr">
        <is>
          <t>X</t>
        </is>
      </c>
      <c r="AB7" s="109" t="n"/>
      <c r="AC7" s="109" t="n"/>
      <c r="AD7" s="109" t="n"/>
    </row>
    <row r="8" ht="15.75" customHeight="1" s="199">
      <c r="A8" s="103" t="inlineStr">
        <is>
          <t>1.4 Tábory a letní program</t>
        </is>
      </c>
      <c r="B8" s="0" t="inlineStr">
        <is>
          <t>Dan (MM)</t>
        </is>
      </c>
      <c r="C8" s="0" t="inlineStr">
        <is>
          <t>Příměstské tábory, exkurze</t>
        </is>
      </c>
      <c r="U8" s="0" t="inlineStr">
        <is>
          <t>X</t>
        </is>
      </c>
      <c r="V8" s="0" t="inlineStr">
        <is>
          <t>X</t>
        </is>
      </c>
      <c r="W8" s="0" t="inlineStr">
        <is>
          <t>X</t>
        </is>
      </c>
      <c r="AB8" s="109" t="n"/>
      <c r="AC8" s="109" t="n"/>
      <c r="AD8" s="109" t="n"/>
    </row>
    <row r="9" ht="15.75" customHeight="1" s="199">
      <c r="A9" s="107" t="inlineStr">
        <is>
          <t>Výstup 2: Výstava „Design jako proces" (Design Lab JVTP)</t>
        </is>
      </c>
      <c r="B9" s="108" t="n"/>
      <c r="C9" s="108" t="n"/>
      <c r="D9" s="108" t="n"/>
      <c r="E9" s="108" t="n"/>
      <c r="F9" s="108" t="n"/>
      <c r="G9" s="108" t="n"/>
      <c r="H9" s="108" t="n"/>
      <c r="I9" s="108" t="n"/>
      <c r="J9" s="108" t="n"/>
      <c r="K9" s="108" t="n"/>
      <c r="L9" s="108" t="n"/>
      <c r="M9" s="108" t="n"/>
      <c r="N9" s="108" t="n"/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  <c r="AA9" s="108" t="n"/>
      <c r="AB9" s="109" t="n"/>
      <c r="AC9" s="109" t="n"/>
      <c r="AD9" s="109" t="n"/>
    </row>
    <row r="10" ht="15.75" customHeight="1" s="199">
      <c r="A10" s="103" t="inlineStr">
        <is>
          <t>2.1 Příprava a kurace výstavy</t>
        </is>
      </c>
      <c r="B10" s="0" t="inlineStr">
        <is>
          <t>Jana (JVTP)</t>
        </is>
      </c>
      <c r="C10" s="0" t="inlineStr">
        <is>
          <t>Koncept výstavy a sběr podkladů</t>
        </is>
      </c>
      <c r="J10" s="0" t="inlineStr">
        <is>
          <t>X</t>
        </is>
      </c>
      <c r="K10" s="0" t="inlineStr">
        <is>
          <t>X</t>
        </is>
      </c>
      <c r="L10" s="0" t="inlineStr">
        <is>
          <t>X</t>
        </is>
      </c>
      <c r="M10" s="0" t="inlineStr">
        <is>
          <t>X</t>
        </is>
      </c>
      <c r="N10" s="0" t="inlineStr">
        <is>
          <t>X</t>
        </is>
      </c>
      <c r="O10" s="0" t="inlineStr">
        <is>
          <t>X</t>
        </is>
      </c>
      <c r="AB10" s="109" t="n"/>
      <c r="AC10" s="109" t="n"/>
      <c r="AD10" s="109" t="n"/>
    </row>
    <row r="11" ht="15.75" customHeight="1" s="199">
      <c r="A11" s="103" t="inlineStr">
        <is>
          <t>2.2 Realizace a provoz výstavy</t>
        </is>
      </c>
      <c r="B11" s="0" t="inlineStr">
        <is>
          <t>Jana (JVTP)</t>
        </is>
      </c>
      <c r="C11" s="0" t="inlineStr">
        <is>
          <t>Instalace a celoroční prezentace</t>
        </is>
      </c>
      <c r="P11" s="0" t="inlineStr">
        <is>
          <t>X</t>
        </is>
      </c>
      <c r="Q11" s="0" t="inlineStr">
        <is>
          <t>X</t>
        </is>
      </c>
      <c r="R11" s="0" t="inlineStr">
        <is>
          <t>X</t>
        </is>
      </c>
      <c r="S11" s="0" t="inlineStr">
        <is>
          <t>X</t>
        </is>
      </c>
      <c r="T11" s="0" t="inlineStr">
        <is>
          <t>X</t>
        </is>
      </c>
      <c r="U11" s="0" t="inlineStr">
        <is>
          <t>X</t>
        </is>
      </c>
      <c r="V11" s="0" t="inlineStr">
        <is>
          <t>X</t>
        </is>
      </c>
      <c r="W11" s="0" t="inlineStr">
        <is>
          <t>X</t>
        </is>
      </c>
      <c r="X11" s="0" t="inlineStr">
        <is>
          <t>X</t>
        </is>
      </c>
      <c r="Y11" s="0" t="inlineStr">
        <is>
          <t>X</t>
        </is>
      </c>
      <c r="Z11" s="0" t="inlineStr">
        <is>
          <t>X</t>
        </is>
      </c>
      <c r="AA11" s="0" t="inlineStr">
        <is>
          <t>X</t>
        </is>
      </c>
      <c r="AB11" s="109" t="n"/>
      <c r="AC11" s="109" t="n"/>
      <c r="AD11" s="109" t="n"/>
    </row>
    <row r="12" ht="15.75" customHeight="1" s="199">
      <c r="A12" s="103" t="inlineStr">
        <is>
          <t>2.3 Design sprinty se startupy</t>
        </is>
      </c>
      <c r="B12" s="0" t="inlineStr">
        <is>
          <t>Jana (JVTP)</t>
        </is>
      </c>
      <c r="C12" s="0" t="inlineStr">
        <is>
          <t>Workshopy a prototypování</t>
        </is>
      </c>
      <c r="Q12" s="0" t="inlineStr">
        <is>
          <t>X</t>
        </is>
      </c>
      <c r="R12" s="0" t="inlineStr">
        <is>
          <t>X</t>
        </is>
      </c>
      <c r="S12" s="0" t="inlineStr">
        <is>
          <t>X</t>
        </is>
      </c>
      <c r="T12" s="0" t="inlineStr">
        <is>
          <t>X</t>
        </is>
      </c>
      <c r="X12" s="0" t="inlineStr">
        <is>
          <t>X</t>
        </is>
      </c>
      <c r="Y12" s="0" t="inlineStr">
        <is>
          <t>X</t>
        </is>
      </c>
      <c r="Z12" s="0" t="inlineStr">
        <is>
          <t>X</t>
        </is>
      </c>
      <c r="AB12" s="109" t="n"/>
      <c r="AC12" s="109" t="n"/>
      <c r="AD12" s="109" t="n"/>
    </row>
    <row r="13" ht="15.75" customHeight="1" s="199">
      <c r="A13" s="103" t="inlineStr">
        <is>
          <t>.....</t>
        </is>
      </c>
      <c r="AB13" s="109" t="n"/>
      <c r="AC13" s="109" t="n"/>
      <c r="AD13" s="109" t="n"/>
    </row>
    <row r="14" ht="15.75" customHeight="1" s="199">
      <c r="A14" s="110" t="inlineStr">
        <is>
          <t>Výstup 3: Komunitní soutěže a udržitelnost</t>
        </is>
      </c>
      <c r="B14" s="108" t="n"/>
      <c r="C14" s="108" t="n"/>
      <c r="D14" s="108" t="n"/>
      <c r="E14" s="108" t="n"/>
      <c r="F14" s="108" t="n"/>
      <c r="G14" s="108" t="n"/>
      <c r="H14" s="108" t="n"/>
      <c r="I14" s="108" t="n"/>
      <c r="J14" s="108" t="n"/>
      <c r="K14" s="108" t="n"/>
      <c r="L14" s="108" t="n"/>
      <c r="M14" s="108" t="n"/>
      <c r="N14" s="108" t="n"/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  <c r="AA14" s="108" t="n"/>
      <c r="AB14" s="109" t="n"/>
      <c r="AC14" s="109" t="n"/>
      <c r="AD14" s="109" t="n"/>
    </row>
    <row r="15" ht="15.75" customHeight="1" s="199">
      <c r="A15" s="103" t="inlineStr">
        <is>
          <t>3.1 Letní a zimní soutěž tvůrců</t>
        </is>
      </c>
      <c r="B15" s="0" t="inlineStr">
        <is>
          <t>Ondřej / Dan (MM)</t>
        </is>
      </c>
      <c r="C15" s="0" t="inlineStr">
        <is>
          <t>2× výzva pro tvůrce (červen + prosinec)</t>
        </is>
      </c>
      <c r="U15" s="0" t="inlineStr">
        <is>
          <t>X</t>
        </is>
      </c>
      <c r="AA15" s="0" t="inlineStr">
        <is>
          <t>X</t>
        </is>
      </c>
    </row>
    <row r="16" ht="15.75" customHeight="1" s="199">
      <c r="A16" s="103" t="inlineStr">
        <is>
          <t>3.2 Plán udržitelnosti po EHMK</t>
        </is>
      </c>
      <c r="B16" s="0" t="inlineStr">
        <is>
          <t>Dan (MM) + Jana (JVTP)</t>
        </is>
      </c>
      <c r="C16" s="0" t="inlineStr">
        <is>
          <t>Vyjednání podmínek pro trvalé centrum</t>
        </is>
      </c>
      <c r="Y16" s="0" t="inlineStr">
        <is>
          <t>X</t>
        </is>
      </c>
      <c r="Z16" s="0" t="inlineStr">
        <is>
          <t>X</t>
        </is>
      </c>
      <c r="AA16" s="0" t="inlineStr">
        <is>
          <t>X</t>
        </is>
      </c>
    </row>
    <row r="17" ht="15.75" customHeight="1" s="199">
      <c r="A17" s="103" t="inlineStr">
        <is>
          <t>3.3 Zahraniční partnerství a evaluace</t>
        </is>
      </c>
      <c r="B17" s="0" t="inlineStr">
        <is>
          <t>Ondřej (MM)</t>
        </is>
      </c>
      <c r="C17" s="0" t="inlineStr">
        <is>
          <t>Sdílení know-how a závěrečná zpráva</t>
        </is>
      </c>
      <c r="D17" s="0" t="inlineStr">
        <is>
          <t>X</t>
        </is>
      </c>
      <c r="E17" s="0" t="inlineStr">
        <is>
          <t>X</t>
        </is>
      </c>
      <c r="F17" s="0" t="inlineStr">
        <is>
          <t>X</t>
        </is>
      </c>
      <c r="G17" s="0" t="inlineStr">
        <is>
          <t>X</t>
        </is>
      </c>
      <c r="H17" s="0" t="inlineStr">
        <is>
          <t>X</t>
        </is>
      </c>
      <c r="I17" s="0" t="inlineStr">
        <is>
          <t>X</t>
        </is>
      </c>
      <c r="J17" s="0" t="inlineStr">
        <is>
          <t>X</t>
        </is>
      </c>
      <c r="K17" s="0" t="inlineStr">
        <is>
          <t>X</t>
        </is>
      </c>
      <c r="L17" s="0" t="inlineStr">
        <is>
          <t>X</t>
        </is>
      </c>
      <c r="M17" s="0" t="inlineStr">
        <is>
          <t>X</t>
        </is>
      </c>
      <c r="N17" s="0" t="inlineStr">
        <is>
          <t>X</t>
        </is>
      </c>
      <c r="O17" s="0" t="inlineStr">
        <is>
          <t>X</t>
        </is>
      </c>
      <c r="P17" s="0" t="inlineStr">
        <is>
          <t>X</t>
        </is>
      </c>
      <c r="Q17" s="0" t="inlineStr">
        <is>
          <t>X</t>
        </is>
      </c>
      <c r="R17" s="0" t="inlineStr">
        <is>
          <t>X</t>
        </is>
      </c>
      <c r="S17" s="0" t="inlineStr">
        <is>
          <t>X</t>
        </is>
      </c>
      <c r="T17" s="0" t="inlineStr">
        <is>
          <t>X</t>
        </is>
      </c>
      <c r="U17" s="0" t="inlineStr">
        <is>
          <t>X</t>
        </is>
      </c>
      <c r="V17" s="0" t="inlineStr">
        <is>
          <t>X</t>
        </is>
      </c>
      <c r="W17" s="0" t="inlineStr">
        <is>
          <t>X</t>
        </is>
      </c>
      <c r="X17" s="0" t="inlineStr">
        <is>
          <t>X</t>
        </is>
      </c>
      <c r="Y17" s="0" t="inlineStr">
        <is>
          <t>X</t>
        </is>
      </c>
      <c r="Z17" s="0" t="inlineStr">
        <is>
          <t>X</t>
        </is>
      </c>
      <c r="AA17" s="0" t="inlineStr">
        <is>
          <t>X</t>
        </is>
      </c>
    </row>
    <row r="18" ht="15.75" customHeight="1" s="199"/>
    <row r="19" ht="15.75" customHeight="1" s="199"/>
    <row r="20" ht="15.75" customHeight="1" s="199"/>
    <row r="21" ht="15.75" customHeight="1" s="199"/>
    <row r="22" ht="15.75" customHeight="1" s="199"/>
    <row r="23" ht="15.75" customHeight="1" s="199"/>
    <row r="24" ht="15.75" customHeight="1" s="199"/>
    <row r="25" ht="15.75" customHeight="1" s="199"/>
    <row r="26" ht="15.75" customHeight="1" s="199"/>
    <row r="27" ht="15.75" customHeight="1" s="199"/>
    <row r="28" ht="15.75" customHeight="1" s="199"/>
    <row r="29" ht="15.75" customHeight="1" s="199"/>
    <row r="30" ht="15.75" customHeight="1" s="199"/>
    <row r="31" ht="15.75" customHeight="1" s="199"/>
    <row r="32" ht="15.75" customHeight="1" s="199"/>
    <row r="33" ht="15.75" customHeight="1" s="199"/>
    <row r="34" ht="15.75" customHeight="1" s="199"/>
    <row r="35" ht="15.75" customHeight="1" s="199"/>
    <row r="36" ht="15.75" customHeight="1" s="199"/>
    <row r="37" ht="15.75" customHeight="1" s="199"/>
    <row r="38" ht="15.75" customHeight="1" s="199"/>
    <row r="39" ht="15.75" customHeight="1" s="199"/>
    <row r="40" ht="15.75" customHeight="1" s="199"/>
    <row r="41" ht="15.75" customHeight="1" s="199"/>
    <row r="42" ht="15.75" customHeight="1" s="199"/>
    <row r="43" ht="15.75" customHeight="1" s="199"/>
    <row r="44" ht="15.75" customHeight="1" s="199"/>
    <row r="45" ht="15.75" customHeight="1" s="199"/>
    <row r="46" ht="15.75" customHeight="1" s="199"/>
    <row r="47" ht="15.75" customHeight="1" s="199"/>
    <row r="48" ht="15.75" customHeight="1" s="199"/>
    <row r="49" ht="15.75" customHeight="1" s="199"/>
    <row r="50" ht="15.75" customHeight="1" s="199"/>
    <row r="51" ht="15.75" customHeight="1" s="199"/>
    <row r="52" ht="15.75" customHeight="1" s="199"/>
    <row r="53" ht="15.75" customHeight="1" s="199"/>
    <row r="54" ht="15.75" customHeight="1" s="199"/>
    <row r="55" ht="15.75" customHeight="1" s="199"/>
    <row r="56" ht="15.75" customHeight="1" s="199"/>
    <row r="57" ht="15.75" customHeight="1" s="199"/>
    <row r="58" ht="15.75" customHeight="1" s="199"/>
    <row r="59" ht="15.75" customHeight="1" s="199"/>
    <row r="60" ht="15.75" customHeight="1" s="199"/>
    <row r="61" ht="15.75" customHeight="1" s="199"/>
    <row r="62" ht="15.75" customHeight="1" s="199"/>
    <row r="63" ht="15.75" customHeight="1" s="199"/>
    <row r="64" ht="15.75" customHeight="1" s="199"/>
    <row r="65" ht="15.75" customHeight="1" s="199"/>
    <row r="66" ht="15.75" customHeight="1" s="199"/>
    <row r="67" ht="15.75" customHeight="1" s="199"/>
    <row r="68" ht="15.75" customHeight="1" s="199"/>
    <row r="69" ht="15.75" customHeight="1" s="199"/>
    <row r="70" ht="15.75" customHeight="1" s="199"/>
    <row r="71" ht="15.75" customHeight="1" s="199"/>
    <row r="72" ht="15.75" customHeight="1" s="199"/>
    <row r="73" ht="15.75" customHeight="1" s="199"/>
    <row r="74" ht="15.75" customHeight="1" s="199"/>
    <row r="75" ht="15.75" customHeight="1" s="199"/>
    <row r="76" ht="15.75" customHeight="1" s="199"/>
    <row r="77" ht="15.75" customHeight="1" s="199"/>
    <row r="78" ht="15.75" customHeight="1" s="199"/>
    <row r="79" ht="15.75" customHeight="1" s="199"/>
    <row r="80" ht="15.75" customHeight="1" s="199"/>
    <row r="81" ht="15.75" customHeight="1" s="199"/>
    <row r="82" ht="15.75" customHeight="1" s="199"/>
    <row r="83" ht="15.75" customHeight="1" s="199"/>
    <row r="84" ht="15.75" customHeight="1" s="199"/>
    <row r="85" ht="15.75" customHeight="1" s="199"/>
    <row r="86" ht="15.75" customHeight="1" s="199"/>
    <row r="87" ht="15.75" customHeight="1" s="199"/>
    <row r="88" ht="15.75" customHeight="1" s="199"/>
    <row r="89" ht="15.75" customHeight="1" s="199"/>
    <row r="90" ht="15.75" customHeight="1" s="199"/>
    <row r="91" ht="15.75" customHeight="1" s="199"/>
    <row r="92" ht="15.75" customHeight="1" s="199"/>
    <row r="93" ht="15.75" customHeight="1" s="199"/>
    <row r="94" ht="15.75" customHeight="1" s="199"/>
    <row r="95" ht="15.75" customHeight="1" s="199"/>
    <row r="96" ht="15.75" customHeight="1" s="199"/>
    <row r="97" ht="15.75" customHeight="1" s="199"/>
    <row r="98" ht="15.75" customHeight="1" s="199"/>
    <row r="99" ht="15.75" customHeight="1" s="199"/>
    <row r="100" ht="15.75" customHeight="1" s="199"/>
    <row r="101" ht="15.75" customHeight="1" s="199"/>
    <row r="102" ht="15.75" customHeight="1" s="199"/>
    <row r="103" ht="15.75" customHeight="1" s="199"/>
    <row r="104" ht="15.75" customHeight="1" s="199"/>
    <row r="105" ht="15.75" customHeight="1" s="199"/>
    <row r="106" ht="15.75" customHeight="1" s="199"/>
    <row r="107" ht="15.75" customHeight="1" s="199"/>
    <row r="108" ht="15.75" customHeight="1" s="199"/>
    <row r="109" ht="15.75" customHeight="1" s="199"/>
    <row r="110" ht="15.75" customHeight="1" s="199"/>
    <row r="111" ht="15.75" customHeight="1" s="199"/>
    <row r="112" ht="15.75" customHeight="1" s="199"/>
    <row r="113" ht="15.75" customHeight="1" s="199"/>
    <row r="114" ht="15.75" customHeight="1" s="199"/>
    <row r="115" ht="15.75" customHeight="1" s="199"/>
    <row r="116" ht="15.75" customHeight="1" s="199"/>
    <row r="117" ht="15.75" customHeight="1" s="199"/>
    <row r="118" ht="15.75" customHeight="1" s="199"/>
    <row r="119" ht="15.75" customHeight="1" s="199"/>
    <row r="120" ht="15.75" customHeight="1" s="199"/>
    <row r="121" ht="15.75" customHeight="1" s="199"/>
    <row r="122" ht="15.75" customHeight="1" s="199"/>
    <row r="123" ht="15.75" customHeight="1" s="199"/>
    <row r="124" ht="15.75" customHeight="1" s="199"/>
    <row r="125" ht="15.75" customHeight="1" s="199"/>
    <row r="126" ht="15.75" customHeight="1" s="199"/>
    <row r="127" ht="15.75" customHeight="1" s="199"/>
    <row r="128" ht="15.75" customHeight="1" s="199"/>
    <row r="129" ht="15.75" customHeight="1" s="199"/>
    <row r="130" ht="15.75" customHeight="1" s="199"/>
    <row r="131" ht="15.75" customHeight="1" s="199"/>
    <row r="132" ht="15.75" customHeight="1" s="199"/>
    <row r="133" ht="15.75" customHeight="1" s="199"/>
    <row r="134" ht="15.75" customHeight="1" s="199"/>
    <row r="135" ht="15.75" customHeight="1" s="199"/>
    <row r="136" ht="15.75" customHeight="1" s="199"/>
    <row r="137" ht="15.75" customHeight="1" s="199"/>
    <row r="138" ht="15.75" customHeight="1" s="199"/>
    <row r="139" ht="15.75" customHeight="1" s="199"/>
    <row r="140" ht="15.75" customHeight="1" s="199"/>
    <row r="141" ht="15.75" customHeight="1" s="199"/>
    <row r="142" ht="15.75" customHeight="1" s="199"/>
    <row r="143" ht="15.75" customHeight="1" s="199"/>
    <row r="144" ht="15.75" customHeight="1" s="199"/>
    <row r="145" ht="15.75" customHeight="1" s="199"/>
    <row r="146" ht="15.75" customHeight="1" s="199"/>
    <row r="147" ht="15.75" customHeight="1" s="199"/>
    <row r="148" ht="15.75" customHeight="1" s="199"/>
    <row r="149" ht="15.75" customHeight="1" s="199"/>
    <row r="150" ht="15.75" customHeight="1" s="199"/>
    <row r="151" ht="15.75" customHeight="1" s="199"/>
    <row r="152" ht="15.75" customHeight="1" s="199"/>
    <row r="153" ht="15.75" customHeight="1" s="199"/>
    <row r="154" ht="15.75" customHeight="1" s="199"/>
    <row r="155" ht="15.75" customHeight="1" s="199"/>
    <row r="156" ht="15.75" customHeight="1" s="199"/>
    <row r="157" ht="15.75" customHeight="1" s="199"/>
    <row r="158" ht="15.75" customHeight="1" s="199"/>
    <row r="159" ht="15.75" customHeight="1" s="199"/>
    <row r="160" ht="15.75" customHeight="1" s="199"/>
    <row r="161" ht="15.75" customHeight="1" s="199"/>
    <row r="162" ht="15.75" customHeight="1" s="199"/>
    <row r="163" ht="15.75" customHeight="1" s="199"/>
    <row r="164" ht="15.75" customHeight="1" s="199"/>
    <row r="165" ht="15.75" customHeight="1" s="199"/>
    <row r="166" ht="15.75" customHeight="1" s="199"/>
    <row r="167" ht="15.75" customHeight="1" s="199"/>
    <row r="168" ht="15.75" customHeight="1" s="199"/>
    <row r="169" ht="15.75" customHeight="1" s="199"/>
    <row r="170" ht="15.75" customHeight="1" s="199"/>
    <row r="171" ht="15.75" customHeight="1" s="199"/>
    <row r="172" ht="15.75" customHeight="1" s="199"/>
    <row r="173" ht="15.75" customHeight="1" s="199"/>
    <row r="174" ht="15.75" customHeight="1" s="199"/>
    <row r="175" ht="15.75" customHeight="1" s="199"/>
    <row r="176" ht="15.75" customHeight="1" s="199"/>
    <row r="177" ht="15.75" customHeight="1" s="199"/>
    <row r="178" ht="15.75" customHeight="1" s="199"/>
    <row r="179" ht="15.75" customHeight="1" s="199"/>
    <row r="180" ht="15.75" customHeight="1" s="199"/>
    <row r="181" ht="15.75" customHeight="1" s="199"/>
    <row r="182" ht="15.75" customHeight="1" s="199"/>
    <row r="183" ht="15.75" customHeight="1" s="199"/>
    <row r="184" ht="15.75" customHeight="1" s="199"/>
    <row r="185" ht="15.75" customHeight="1" s="199"/>
    <row r="186" ht="15.75" customHeight="1" s="199"/>
    <row r="187" ht="15.75" customHeight="1" s="199"/>
    <row r="188" ht="15.75" customHeight="1" s="199"/>
    <row r="189" ht="15.75" customHeight="1" s="199"/>
    <row r="190" ht="15.75" customHeight="1" s="199"/>
    <row r="191" ht="15.75" customHeight="1" s="199"/>
    <row r="192" ht="15.75" customHeight="1" s="199"/>
    <row r="193" ht="15.75" customHeight="1" s="199"/>
    <row r="194" ht="15.75" customHeight="1" s="199"/>
    <row r="195" ht="15.75" customHeight="1" s="199"/>
    <row r="196" ht="15.75" customHeight="1" s="199"/>
    <row r="197" ht="15.75" customHeight="1" s="199"/>
    <row r="198" ht="15.75" customHeight="1" s="199"/>
    <row r="199" ht="15.75" customHeight="1" s="199"/>
    <row r="200" ht="15.75" customHeight="1" s="199"/>
    <row r="201" ht="15.75" customHeight="1" s="199"/>
    <row r="202" ht="15.75" customHeight="1" s="199"/>
    <row r="203" ht="15.75" customHeight="1" s="199"/>
    <row r="204" ht="15.75" customHeight="1" s="199"/>
    <row r="205" ht="15.75" customHeight="1" s="199"/>
    <row r="206" ht="15.75" customHeight="1" s="199"/>
    <row r="207" ht="15.75" customHeight="1" s="199"/>
    <row r="208" ht="15.75" customHeight="1" s="199"/>
    <row r="209" ht="15.75" customHeight="1" s="199"/>
    <row r="210" ht="15.75" customHeight="1" s="199"/>
    <row r="211" ht="15.75" customHeight="1" s="199"/>
    <row r="212" ht="15.75" customHeight="1" s="199"/>
    <row r="213" ht="15.75" customHeight="1" s="199"/>
    <row r="214" ht="15.75" customHeight="1" s="199"/>
    <row r="215" ht="15.75" customHeight="1" s="199"/>
    <row r="216" ht="15.75" customHeight="1" s="199"/>
    <row r="217" ht="15.75" customHeight="1" s="199"/>
    <row r="218" ht="15.75" customHeight="1" s="199"/>
    <row r="219" ht="15.75" customHeight="1" s="199"/>
    <row r="220" ht="15.75" customHeight="1" s="199"/>
    <row r="221" ht="15.75" customHeight="1" s="199"/>
    <row r="222" ht="15.75" customHeight="1" s="199"/>
    <row r="223" ht="15.75" customHeight="1" s="199"/>
    <row r="224" ht="15.75" customHeight="1" s="199"/>
    <row r="225" ht="15.75" customHeight="1" s="199"/>
    <row r="226" ht="15.75" customHeight="1" s="199"/>
    <row r="227" ht="15.75" customHeight="1" s="199"/>
    <row r="228" ht="15.75" customHeight="1" s="199"/>
    <row r="229" ht="15.75" customHeight="1" s="199"/>
    <row r="230" ht="15.75" customHeight="1" s="199"/>
    <row r="231" ht="15.75" customHeight="1" s="199"/>
    <row r="232" ht="15.75" customHeight="1" s="199"/>
    <row r="233" ht="15.75" customHeight="1" s="199"/>
    <row r="234" ht="15.75" customHeight="1" s="199"/>
    <row r="235" ht="15.75" customHeight="1" s="199"/>
    <row r="236" ht="15.75" customHeight="1" s="199"/>
    <row r="237" ht="15.75" customHeight="1" s="199"/>
    <row r="238" ht="15.75" customHeight="1" s="199"/>
    <row r="239" ht="15.75" customHeight="1" s="199"/>
    <row r="240" ht="15.75" customHeight="1" s="199"/>
    <row r="241" ht="15.75" customHeight="1" s="199"/>
    <row r="242" ht="15.75" customHeight="1" s="199"/>
    <row r="243" ht="15.75" customHeight="1" s="199"/>
    <row r="244" ht="15.75" customHeight="1" s="199"/>
    <row r="245" ht="15.75" customHeight="1" s="199"/>
    <row r="246" ht="15.75" customHeight="1" s="199"/>
    <row r="247" ht="15.75" customHeight="1" s="199"/>
    <row r="248" ht="15.75" customHeight="1" s="199"/>
    <row r="249" ht="15.75" customHeight="1" s="199"/>
    <row r="250" ht="15.75" customHeight="1" s="199"/>
    <row r="251" ht="15.75" customHeight="1" s="199"/>
    <row r="252" ht="15.75" customHeight="1" s="199"/>
    <row r="253" ht="15.75" customHeight="1" s="199"/>
    <row r="254" ht="15.75" customHeight="1" s="199"/>
    <row r="255" ht="15.75" customHeight="1" s="199"/>
    <row r="256" ht="15.75" customHeight="1" s="199"/>
    <row r="257" ht="15.75" customHeight="1" s="199"/>
    <row r="258" ht="15.75" customHeight="1" s="199"/>
    <row r="259" ht="15.75" customHeight="1" s="199"/>
    <row r="260" ht="15.75" customHeight="1" s="199"/>
    <row r="261" ht="15.75" customHeight="1" s="199"/>
    <row r="262" ht="15.75" customHeight="1" s="199"/>
    <row r="263" ht="15.75" customHeight="1" s="199"/>
    <row r="264" ht="15.75" customHeight="1" s="199"/>
    <row r="265" ht="15.75" customHeight="1" s="199"/>
    <row r="266" ht="15.75" customHeight="1" s="199"/>
    <row r="267" ht="15.75" customHeight="1" s="199"/>
    <row r="268" ht="15.75" customHeight="1" s="199"/>
    <row r="269" ht="15.75" customHeight="1" s="199"/>
    <row r="270" ht="15.75" customHeight="1" s="199"/>
    <row r="271" ht="15.75" customHeight="1" s="199"/>
    <row r="272" ht="15.75" customHeight="1" s="199"/>
    <row r="273" ht="15.75" customHeight="1" s="199"/>
    <row r="274" ht="15.75" customHeight="1" s="199"/>
    <row r="275" ht="15.75" customHeight="1" s="199"/>
    <row r="276" ht="15.75" customHeight="1" s="199"/>
    <row r="277" ht="15.75" customHeight="1" s="199"/>
    <row r="278" ht="15.75" customHeight="1" s="199"/>
    <row r="279" ht="15.75" customHeight="1" s="199"/>
    <row r="280" ht="15.75" customHeight="1" s="199"/>
    <row r="281" ht="15.75" customHeight="1" s="199"/>
    <row r="282" ht="15.75" customHeight="1" s="199"/>
    <row r="283" ht="15.75" customHeight="1" s="199"/>
    <row r="284" ht="15.75" customHeight="1" s="199"/>
    <row r="285" ht="15.75" customHeight="1" s="199"/>
    <row r="286" ht="15.75" customHeight="1" s="199"/>
    <row r="287" ht="15.75" customHeight="1" s="199"/>
    <row r="288" ht="15.75" customHeight="1" s="199"/>
    <row r="289" ht="15.75" customHeight="1" s="199"/>
    <row r="290" ht="15.75" customHeight="1" s="199"/>
    <row r="291" ht="15.75" customHeight="1" s="199"/>
    <row r="292" ht="15.75" customHeight="1" s="199"/>
    <row r="293" ht="15.75" customHeight="1" s="199"/>
    <row r="294" ht="15.75" customHeight="1" s="199"/>
    <row r="295" ht="15.75" customHeight="1" s="199"/>
    <row r="296" ht="15.75" customHeight="1" s="199"/>
    <row r="297" ht="15.75" customHeight="1" s="199"/>
    <row r="298" ht="15.75" customHeight="1" s="199"/>
    <row r="299" ht="15.75" customHeight="1" s="199"/>
    <row r="300" ht="15.75" customHeight="1" s="199"/>
    <row r="301" ht="15.75" customHeight="1" s="199"/>
    <row r="302" ht="15.75" customHeight="1" s="199"/>
    <row r="303" ht="15.75" customHeight="1" s="199"/>
    <row r="304" ht="15.75" customHeight="1" s="199"/>
    <row r="305" ht="15.75" customHeight="1" s="199"/>
    <row r="306" ht="15.75" customHeight="1" s="199"/>
    <row r="307" ht="15.75" customHeight="1" s="199"/>
    <row r="308" ht="15.75" customHeight="1" s="199"/>
    <row r="309" ht="15.75" customHeight="1" s="199"/>
    <row r="310" ht="15.75" customHeight="1" s="199"/>
    <row r="311" ht="15.75" customHeight="1" s="199"/>
    <row r="312" ht="15.75" customHeight="1" s="199"/>
    <row r="313" ht="15.75" customHeight="1" s="199"/>
    <row r="314" ht="15.75" customHeight="1" s="199"/>
    <row r="315" ht="15.75" customHeight="1" s="199"/>
    <row r="316" ht="15.75" customHeight="1" s="199"/>
    <row r="317" ht="15.75" customHeight="1" s="199"/>
    <row r="318" ht="15.75" customHeight="1" s="199"/>
    <row r="319" ht="15.75" customHeight="1" s="199"/>
    <row r="320" ht="15.75" customHeight="1" s="199"/>
    <row r="321" ht="15.75" customHeight="1" s="199"/>
    <row r="322" ht="15.75" customHeight="1" s="199"/>
    <row r="323" ht="15.75" customHeight="1" s="199"/>
    <row r="324" ht="15.75" customHeight="1" s="199"/>
    <row r="325" ht="15.75" customHeight="1" s="199"/>
    <row r="326" ht="15.75" customHeight="1" s="199"/>
    <row r="327" ht="15.75" customHeight="1" s="199"/>
    <row r="328" ht="15.75" customHeight="1" s="199"/>
    <row r="329" ht="15.75" customHeight="1" s="199"/>
    <row r="330" ht="15.75" customHeight="1" s="199"/>
    <row r="331" ht="15.75" customHeight="1" s="199"/>
    <row r="332" ht="15.75" customHeight="1" s="199"/>
    <row r="333" ht="15.75" customHeight="1" s="199"/>
    <row r="334" ht="15.75" customHeight="1" s="199"/>
    <row r="335" ht="15.75" customHeight="1" s="199"/>
    <row r="336" ht="15.75" customHeight="1" s="199"/>
    <row r="337" ht="15.75" customHeight="1" s="199"/>
    <row r="338" ht="15.75" customHeight="1" s="199"/>
    <row r="339" ht="15.75" customHeight="1" s="199"/>
    <row r="340" ht="15.75" customHeight="1" s="199"/>
    <row r="341" ht="15.75" customHeight="1" s="199"/>
    <row r="342" ht="15.75" customHeight="1" s="199"/>
    <row r="343" ht="15.75" customHeight="1" s="199"/>
    <row r="344" ht="15.75" customHeight="1" s="199"/>
    <row r="345" ht="15.75" customHeight="1" s="199"/>
    <row r="346" ht="15.75" customHeight="1" s="199"/>
    <row r="347" ht="15.75" customHeight="1" s="199"/>
    <row r="348" ht="15.75" customHeight="1" s="199"/>
    <row r="349" ht="15.75" customHeight="1" s="199"/>
    <row r="350" ht="15.75" customHeight="1" s="199"/>
    <row r="351" ht="15.75" customHeight="1" s="199"/>
    <row r="352" ht="15.75" customHeight="1" s="199"/>
    <row r="353" ht="15.75" customHeight="1" s="199"/>
    <row r="354" ht="15.75" customHeight="1" s="199"/>
    <row r="355" ht="15.75" customHeight="1" s="199"/>
    <row r="356" ht="15.75" customHeight="1" s="199"/>
    <row r="357" ht="15.75" customHeight="1" s="199"/>
    <row r="358" ht="15.75" customHeight="1" s="199"/>
    <row r="359" ht="15.75" customHeight="1" s="199"/>
    <row r="360" ht="15.75" customHeight="1" s="199"/>
    <row r="361" ht="15.75" customHeight="1" s="199"/>
    <row r="362" ht="15.75" customHeight="1" s="199"/>
    <row r="363" ht="15.75" customHeight="1" s="199"/>
    <row r="364" ht="15.75" customHeight="1" s="199"/>
    <row r="365" ht="15.75" customHeight="1" s="199"/>
    <row r="366" ht="15.75" customHeight="1" s="199"/>
    <row r="367" ht="15.75" customHeight="1" s="199"/>
    <row r="368" ht="15.75" customHeight="1" s="199"/>
    <row r="369" ht="15.75" customHeight="1" s="199"/>
    <row r="370" ht="15.75" customHeight="1" s="199"/>
    <row r="371" ht="15.75" customHeight="1" s="199"/>
    <row r="372" ht="15.75" customHeight="1" s="199"/>
    <row r="373" ht="15.75" customHeight="1" s="199"/>
    <row r="374" ht="15.75" customHeight="1" s="199"/>
    <row r="375" ht="15.75" customHeight="1" s="199"/>
    <row r="376" ht="15.75" customHeight="1" s="199"/>
    <row r="377" ht="15.75" customHeight="1" s="199"/>
    <row r="378" ht="15.75" customHeight="1" s="199"/>
    <row r="379" ht="15.75" customHeight="1" s="199"/>
    <row r="380" ht="15.75" customHeight="1" s="199"/>
    <row r="381" ht="15.75" customHeight="1" s="199"/>
    <row r="382" ht="15.75" customHeight="1" s="199"/>
    <row r="383" ht="15.75" customHeight="1" s="199"/>
    <row r="384" ht="15.75" customHeight="1" s="199"/>
    <row r="385" ht="15.75" customHeight="1" s="199"/>
    <row r="386" ht="15.75" customHeight="1" s="199"/>
    <row r="387" ht="15.75" customHeight="1" s="199"/>
    <row r="388" ht="15.75" customHeight="1" s="199"/>
    <row r="389" ht="15.75" customHeight="1" s="199"/>
    <row r="390" ht="15.75" customHeight="1" s="199"/>
    <row r="391" ht="15.75" customHeight="1" s="199"/>
    <row r="392" ht="15.75" customHeight="1" s="199"/>
    <row r="393" ht="15.75" customHeight="1" s="199"/>
    <row r="394" ht="15.75" customHeight="1" s="199"/>
    <row r="395" ht="15.75" customHeight="1" s="199"/>
    <row r="396" ht="15.75" customHeight="1" s="199"/>
    <row r="397" ht="15.75" customHeight="1" s="199"/>
    <row r="398" ht="15.75" customHeight="1" s="199"/>
    <row r="399" ht="15.75" customHeight="1" s="199"/>
    <row r="400" ht="15.75" customHeight="1" s="199"/>
    <row r="401" ht="15.75" customHeight="1" s="199"/>
    <row r="402" ht="15.75" customHeight="1" s="199"/>
    <row r="403" ht="15.75" customHeight="1" s="199"/>
    <row r="404" ht="15.75" customHeight="1" s="199"/>
    <row r="405" ht="15.75" customHeight="1" s="199"/>
    <row r="406" ht="15.75" customHeight="1" s="199"/>
    <row r="407" ht="15.75" customHeight="1" s="199"/>
    <row r="408" ht="15.75" customHeight="1" s="199"/>
    <row r="409" ht="15.75" customHeight="1" s="199"/>
    <row r="410" ht="15.75" customHeight="1" s="199"/>
    <row r="411" ht="15.75" customHeight="1" s="199"/>
    <row r="412" ht="15.75" customHeight="1" s="199"/>
    <row r="413" ht="15.75" customHeight="1" s="199"/>
    <row r="414" ht="15.75" customHeight="1" s="199"/>
    <row r="415" ht="15.75" customHeight="1" s="199"/>
    <row r="416" ht="15.75" customHeight="1" s="199"/>
    <row r="417" ht="15.75" customHeight="1" s="199"/>
    <row r="418" ht="15.75" customHeight="1" s="199"/>
    <row r="419" ht="15.75" customHeight="1" s="199"/>
    <row r="420" ht="15.75" customHeight="1" s="199"/>
    <row r="421" ht="15.75" customHeight="1" s="199"/>
    <row r="422" ht="15.75" customHeight="1" s="199"/>
    <row r="423" ht="15.75" customHeight="1" s="199"/>
    <row r="424" ht="15.75" customHeight="1" s="199"/>
    <row r="425" ht="15.75" customHeight="1" s="199"/>
    <row r="426" ht="15.75" customHeight="1" s="199"/>
    <row r="427" ht="15.75" customHeight="1" s="199"/>
    <row r="428" ht="15.75" customHeight="1" s="199"/>
    <row r="429" ht="15.75" customHeight="1" s="199"/>
    <row r="430" ht="15.75" customHeight="1" s="199"/>
    <row r="431" ht="15.75" customHeight="1" s="199"/>
    <row r="432" ht="15.75" customHeight="1" s="199"/>
    <row r="433" ht="15.75" customHeight="1" s="199"/>
    <row r="434" ht="15.75" customHeight="1" s="199"/>
    <row r="435" ht="15.75" customHeight="1" s="199"/>
    <row r="436" ht="15.75" customHeight="1" s="199"/>
    <row r="437" ht="15.75" customHeight="1" s="199"/>
    <row r="438" ht="15.75" customHeight="1" s="199"/>
    <row r="439" ht="15.75" customHeight="1" s="199"/>
    <row r="440" ht="15.75" customHeight="1" s="199"/>
    <row r="441" ht="15.75" customHeight="1" s="199"/>
    <row r="442" ht="15.75" customHeight="1" s="199"/>
    <row r="443" ht="15.75" customHeight="1" s="199"/>
    <row r="444" ht="15.75" customHeight="1" s="199"/>
    <row r="445" ht="15.75" customHeight="1" s="199"/>
    <row r="446" ht="15.75" customHeight="1" s="199"/>
    <row r="447" ht="15.75" customHeight="1" s="199"/>
    <row r="448" ht="15.75" customHeight="1" s="199"/>
    <row r="449" ht="15.75" customHeight="1" s="199"/>
    <row r="450" ht="15.75" customHeight="1" s="199"/>
    <row r="451" ht="15.75" customHeight="1" s="199"/>
    <row r="452" ht="15.75" customHeight="1" s="199"/>
    <row r="453" ht="15.75" customHeight="1" s="199"/>
    <row r="454" ht="15.75" customHeight="1" s="199"/>
    <row r="455" ht="15.75" customHeight="1" s="199"/>
    <row r="456" ht="15.75" customHeight="1" s="199"/>
    <row r="457" ht="15.75" customHeight="1" s="199"/>
    <row r="458" ht="15.75" customHeight="1" s="199"/>
    <row r="459" ht="15.75" customHeight="1" s="199"/>
    <row r="460" ht="15.75" customHeight="1" s="199"/>
    <row r="461" ht="15.75" customHeight="1" s="199"/>
    <row r="462" ht="15.75" customHeight="1" s="199"/>
    <row r="463" ht="15.75" customHeight="1" s="199"/>
    <row r="464" ht="15.75" customHeight="1" s="199"/>
    <row r="465" ht="15.75" customHeight="1" s="199"/>
    <row r="466" ht="15.75" customHeight="1" s="199"/>
    <row r="467" ht="15.75" customHeight="1" s="199"/>
    <row r="468" ht="15.75" customHeight="1" s="199"/>
    <row r="469" ht="15.75" customHeight="1" s="199"/>
    <row r="470" ht="15.75" customHeight="1" s="199"/>
    <row r="471" ht="15.75" customHeight="1" s="199"/>
    <row r="472" ht="15.75" customHeight="1" s="199"/>
    <row r="473" ht="15.75" customHeight="1" s="199"/>
    <row r="474" ht="15.75" customHeight="1" s="199"/>
    <row r="475" ht="15.75" customHeight="1" s="199"/>
    <row r="476" ht="15.75" customHeight="1" s="199"/>
    <row r="477" ht="15.75" customHeight="1" s="199"/>
    <row r="478" ht="15.75" customHeight="1" s="199"/>
    <row r="479" ht="15.75" customHeight="1" s="199"/>
    <row r="480" ht="15.75" customHeight="1" s="199"/>
    <row r="481" ht="15.75" customHeight="1" s="199"/>
    <row r="482" ht="15.75" customHeight="1" s="199"/>
    <row r="483" ht="15.75" customHeight="1" s="199"/>
    <row r="484" ht="15.75" customHeight="1" s="199"/>
    <row r="485" ht="15.75" customHeight="1" s="199"/>
    <row r="486" ht="15.75" customHeight="1" s="199"/>
    <row r="487" ht="15.75" customHeight="1" s="199"/>
    <row r="488" ht="15.75" customHeight="1" s="199"/>
    <row r="489" ht="15.75" customHeight="1" s="199"/>
    <row r="490" ht="15.75" customHeight="1" s="199"/>
    <row r="491" ht="15.75" customHeight="1" s="199"/>
    <row r="492" ht="15.75" customHeight="1" s="199"/>
    <row r="493" ht="15.75" customHeight="1" s="199"/>
    <row r="494" ht="15.75" customHeight="1" s="199"/>
    <row r="495" ht="15.75" customHeight="1" s="199"/>
    <row r="496" ht="15.75" customHeight="1" s="199"/>
    <row r="497" ht="15.75" customHeight="1" s="199"/>
    <row r="498" ht="15.75" customHeight="1" s="199"/>
    <row r="499" ht="15.75" customHeight="1" s="199"/>
    <row r="500" ht="15.75" customHeight="1" s="199"/>
    <row r="501" ht="15.75" customHeight="1" s="199"/>
    <row r="502" ht="15.75" customHeight="1" s="199"/>
    <row r="503" ht="15.75" customHeight="1" s="199"/>
    <row r="504" ht="15.75" customHeight="1" s="199"/>
    <row r="505" ht="15.75" customHeight="1" s="199"/>
    <row r="506" ht="15.75" customHeight="1" s="199"/>
    <row r="507" ht="15.75" customHeight="1" s="199"/>
    <row r="508" ht="15.75" customHeight="1" s="199"/>
    <row r="509" ht="15.75" customHeight="1" s="199"/>
    <row r="510" ht="15.75" customHeight="1" s="199"/>
    <row r="511" ht="15.75" customHeight="1" s="199"/>
    <row r="512" ht="15.75" customHeight="1" s="199"/>
    <row r="513" ht="15.75" customHeight="1" s="199"/>
    <row r="514" ht="15.75" customHeight="1" s="199"/>
    <row r="515" ht="15.75" customHeight="1" s="199"/>
    <row r="516" ht="15.75" customHeight="1" s="199"/>
    <row r="517" ht="15.75" customHeight="1" s="199"/>
    <row r="518" ht="15.75" customHeight="1" s="199"/>
    <row r="519" ht="15.75" customHeight="1" s="199"/>
    <row r="520" ht="15.75" customHeight="1" s="199"/>
    <row r="521" ht="15.75" customHeight="1" s="199"/>
    <row r="522" ht="15.75" customHeight="1" s="199"/>
    <row r="523" ht="15.75" customHeight="1" s="199"/>
    <row r="524" ht="15.75" customHeight="1" s="199"/>
    <row r="525" ht="15.75" customHeight="1" s="199"/>
    <row r="526" ht="15.75" customHeight="1" s="199"/>
    <row r="527" ht="15.75" customHeight="1" s="199"/>
    <row r="528" ht="15.75" customHeight="1" s="199"/>
    <row r="529" ht="15.75" customHeight="1" s="199"/>
    <row r="530" ht="15.75" customHeight="1" s="199"/>
    <row r="531" ht="15.75" customHeight="1" s="199"/>
    <row r="532" ht="15.75" customHeight="1" s="199"/>
    <row r="533" ht="15.75" customHeight="1" s="199"/>
    <row r="534" ht="15.75" customHeight="1" s="199"/>
    <row r="535" ht="15.75" customHeight="1" s="199"/>
    <row r="536" ht="15.75" customHeight="1" s="199"/>
    <row r="537" ht="15.75" customHeight="1" s="199"/>
    <row r="538" ht="15.75" customHeight="1" s="199"/>
    <row r="539" ht="15.75" customHeight="1" s="199"/>
    <row r="540" ht="15.75" customHeight="1" s="199"/>
    <row r="541" ht="15.75" customHeight="1" s="199"/>
    <row r="542" ht="15.75" customHeight="1" s="199"/>
    <row r="543" ht="15.75" customHeight="1" s="199"/>
    <row r="544" ht="15.75" customHeight="1" s="199"/>
    <row r="545" ht="15.75" customHeight="1" s="199"/>
    <row r="546" ht="15.75" customHeight="1" s="199"/>
    <row r="547" ht="15.75" customHeight="1" s="199"/>
    <row r="548" ht="15.75" customHeight="1" s="199"/>
    <row r="549" ht="15.75" customHeight="1" s="199"/>
    <row r="550" ht="15.75" customHeight="1" s="199"/>
    <row r="551" ht="15.75" customHeight="1" s="199"/>
    <row r="552" ht="15.75" customHeight="1" s="199"/>
    <row r="553" ht="15.75" customHeight="1" s="199"/>
    <row r="554" ht="15.75" customHeight="1" s="199"/>
    <row r="555" ht="15.75" customHeight="1" s="199"/>
    <row r="556" ht="15.75" customHeight="1" s="199"/>
    <row r="557" ht="15.75" customHeight="1" s="199"/>
    <row r="558" ht="15.75" customHeight="1" s="199"/>
    <row r="559" ht="15.75" customHeight="1" s="199"/>
    <row r="560" ht="15.75" customHeight="1" s="199"/>
    <row r="561" ht="15.75" customHeight="1" s="199"/>
    <row r="562" ht="15.75" customHeight="1" s="199"/>
    <row r="563" ht="15.75" customHeight="1" s="199"/>
    <row r="564" ht="15.75" customHeight="1" s="199"/>
    <row r="565" ht="15.75" customHeight="1" s="199"/>
    <row r="566" ht="15.75" customHeight="1" s="199"/>
    <row r="567" ht="15.75" customHeight="1" s="199"/>
    <row r="568" ht="15.75" customHeight="1" s="199"/>
    <row r="569" ht="15.75" customHeight="1" s="199"/>
    <row r="570" ht="15.75" customHeight="1" s="199"/>
    <row r="571" ht="15.75" customHeight="1" s="199"/>
    <row r="572" ht="15.75" customHeight="1" s="199"/>
    <row r="573" ht="15.75" customHeight="1" s="199"/>
    <row r="574" ht="15.75" customHeight="1" s="199"/>
    <row r="575" ht="15.75" customHeight="1" s="199"/>
    <row r="576" ht="15.75" customHeight="1" s="199"/>
    <row r="577" ht="15.75" customHeight="1" s="199"/>
    <row r="578" ht="15.75" customHeight="1" s="199"/>
    <row r="579" ht="15.75" customHeight="1" s="199"/>
    <row r="580" ht="15.75" customHeight="1" s="199"/>
    <row r="581" ht="15.75" customHeight="1" s="199"/>
    <row r="582" ht="15.75" customHeight="1" s="199"/>
    <row r="583" ht="15.75" customHeight="1" s="199"/>
    <row r="584" ht="15.75" customHeight="1" s="199"/>
    <row r="585" ht="15.75" customHeight="1" s="199"/>
    <row r="586" ht="15.75" customHeight="1" s="199"/>
    <row r="587" ht="15.75" customHeight="1" s="199"/>
    <row r="588" ht="15.75" customHeight="1" s="199"/>
    <row r="589" ht="15.75" customHeight="1" s="199"/>
    <row r="590" ht="15.75" customHeight="1" s="199"/>
    <row r="591" ht="15.75" customHeight="1" s="199"/>
    <row r="592" ht="15.75" customHeight="1" s="199"/>
    <row r="593" ht="15.75" customHeight="1" s="199"/>
    <row r="594" ht="15.75" customHeight="1" s="199"/>
    <row r="595" ht="15.75" customHeight="1" s="199"/>
    <row r="596" ht="15.75" customHeight="1" s="199"/>
    <row r="597" ht="15.75" customHeight="1" s="199"/>
    <row r="598" ht="15.75" customHeight="1" s="199"/>
    <row r="599" ht="15.75" customHeight="1" s="199"/>
    <row r="600" ht="15.75" customHeight="1" s="199"/>
    <row r="601" ht="15.75" customHeight="1" s="199"/>
    <row r="602" ht="15.75" customHeight="1" s="199"/>
    <row r="603" ht="15.75" customHeight="1" s="199"/>
    <row r="604" ht="15.75" customHeight="1" s="199"/>
    <row r="605" ht="15.75" customHeight="1" s="199"/>
    <row r="606" ht="15.75" customHeight="1" s="199"/>
    <row r="607" ht="15.75" customHeight="1" s="199"/>
    <row r="608" ht="15.75" customHeight="1" s="199"/>
    <row r="609" ht="15.75" customHeight="1" s="199"/>
    <row r="610" ht="15.75" customHeight="1" s="199"/>
    <row r="611" ht="15.75" customHeight="1" s="199"/>
    <row r="612" ht="15.75" customHeight="1" s="199"/>
    <row r="613" ht="15.75" customHeight="1" s="199"/>
    <row r="614" ht="15.75" customHeight="1" s="199"/>
    <row r="615" ht="15.75" customHeight="1" s="199"/>
    <row r="616" ht="15.75" customHeight="1" s="199"/>
    <row r="617" ht="15.75" customHeight="1" s="199"/>
    <row r="618" ht="15.75" customHeight="1" s="199"/>
    <row r="619" ht="15.75" customHeight="1" s="199"/>
    <row r="620" ht="15.75" customHeight="1" s="199"/>
    <row r="621" ht="15.75" customHeight="1" s="199"/>
    <row r="622" ht="15.75" customHeight="1" s="199"/>
    <row r="623" ht="15.75" customHeight="1" s="199"/>
    <row r="624" ht="15.75" customHeight="1" s="199"/>
    <row r="625" ht="15.75" customHeight="1" s="199"/>
    <row r="626" ht="15.75" customHeight="1" s="199"/>
    <row r="627" ht="15.75" customHeight="1" s="199"/>
    <row r="628" ht="15.75" customHeight="1" s="199"/>
    <row r="629" ht="15.75" customHeight="1" s="199"/>
    <row r="630" ht="15.75" customHeight="1" s="199"/>
    <row r="631" ht="15.75" customHeight="1" s="199"/>
    <row r="632" ht="15.75" customHeight="1" s="199"/>
    <row r="633" ht="15.75" customHeight="1" s="199"/>
    <row r="634" ht="15.75" customHeight="1" s="199"/>
    <row r="635" ht="15.75" customHeight="1" s="199"/>
    <row r="636" ht="15.75" customHeight="1" s="199"/>
    <row r="637" ht="15.75" customHeight="1" s="199"/>
    <row r="638" ht="15.75" customHeight="1" s="199"/>
    <row r="639" ht="15.75" customHeight="1" s="199"/>
    <row r="640" ht="15.75" customHeight="1" s="199"/>
    <row r="641" ht="15.75" customHeight="1" s="199"/>
    <row r="642" ht="15.75" customHeight="1" s="199"/>
    <row r="643" ht="15.75" customHeight="1" s="199"/>
    <row r="644" ht="15.75" customHeight="1" s="199"/>
    <row r="645" ht="15.75" customHeight="1" s="199"/>
    <row r="646" ht="15.75" customHeight="1" s="199"/>
    <row r="647" ht="15.75" customHeight="1" s="199"/>
    <row r="648" ht="15.75" customHeight="1" s="199"/>
    <row r="649" ht="15.75" customHeight="1" s="199"/>
    <row r="650" ht="15.75" customHeight="1" s="199"/>
    <row r="651" ht="15.75" customHeight="1" s="199"/>
    <row r="652" ht="15.75" customHeight="1" s="199"/>
    <row r="653" ht="15.75" customHeight="1" s="199"/>
    <row r="654" ht="15.75" customHeight="1" s="199"/>
    <row r="655" ht="15.75" customHeight="1" s="199"/>
    <row r="656" ht="15.75" customHeight="1" s="199"/>
    <row r="657" ht="15.75" customHeight="1" s="199"/>
    <row r="658" ht="15.75" customHeight="1" s="199"/>
    <row r="659" ht="15.75" customHeight="1" s="199"/>
    <row r="660" ht="15.75" customHeight="1" s="199"/>
    <row r="661" ht="15.75" customHeight="1" s="199"/>
    <row r="662" ht="15.75" customHeight="1" s="199"/>
    <row r="663" ht="15.75" customHeight="1" s="199"/>
    <row r="664" ht="15.75" customHeight="1" s="199"/>
    <row r="665" ht="15.75" customHeight="1" s="199"/>
    <row r="666" ht="15.75" customHeight="1" s="199"/>
    <row r="667" ht="15.75" customHeight="1" s="199"/>
    <row r="668" ht="15.75" customHeight="1" s="199"/>
    <row r="669" ht="15.75" customHeight="1" s="199"/>
    <row r="670" ht="15.75" customHeight="1" s="199"/>
    <row r="671" ht="15.75" customHeight="1" s="199"/>
    <row r="672" ht="15.75" customHeight="1" s="199"/>
    <row r="673" ht="15.75" customHeight="1" s="199"/>
    <row r="674" ht="15.75" customHeight="1" s="199"/>
    <row r="675" ht="15.75" customHeight="1" s="199"/>
    <row r="676" ht="15.75" customHeight="1" s="199"/>
    <row r="677" ht="15.75" customHeight="1" s="199"/>
    <row r="678" ht="15.75" customHeight="1" s="199"/>
    <row r="679" ht="15.75" customHeight="1" s="199"/>
    <row r="680" ht="15.75" customHeight="1" s="199"/>
    <row r="681" ht="15.75" customHeight="1" s="199"/>
    <row r="682" ht="15.75" customHeight="1" s="199"/>
    <row r="683" ht="15.75" customHeight="1" s="199"/>
    <row r="684" ht="15.75" customHeight="1" s="199"/>
    <row r="685" ht="15.75" customHeight="1" s="199"/>
    <row r="686" ht="15.75" customHeight="1" s="199"/>
    <row r="687" ht="15.75" customHeight="1" s="199"/>
    <row r="688" ht="15.75" customHeight="1" s="199"/>
    <row r="689" ht="15.75" customHeight="1" s="199"/>
    <row r="690" ht="15.75" customHeight="1" s="199"/>
    <row r="691" ht="15.75" customHeight="1" s="199"/>
    <row r="692" ht="15.75" customHeight="1" s="199"/>
    <row r="693" ht="15.75" customHeight="1" s="199"/>
    <row r="694" ht="15.75" customHeight="1" s="199"/>
    <row r="695" ht="15.75" customHeight="1" s="199"/>
    <row r="696" ht="15.75" customHeight="1" s="199"/>
    <row r="697" ht="15.75" customHeight="1" s="199"/>
    <row r="698" ht="15.75" customHeight="1" s="199"/>
    <row r="699" ht="15.75" customHeight="1" s="199"/>
    <row r="700" ht="15.75" customHeight="1" s="199"/>
    <row r="701" ht="15.75" customHeight="1" s="199"/>
    <row r="702" ht="15.75" customHeight="1" s="199"/>
    <row r="703" ht="15.75" customHeight="1" s="199"/>
    <row r="704" ht="15.75" customHeight="1" s="199"/>
    <row r="705" ht="15.75" customHeight="1" s="199"/>
    <row r="706" ht="15.75" customHeight="1" s="199"/>
    <row r="707" ht="15.75" customHeight="1" s="199"/>
    <row r="708" ht="15.75" customHeight="1" s="199"/>
    <row r="709" ht="15.75" customHeight="1" s="199"/>
    <row r="710" ht="15.75" customHeight="1" s="199"/>
    <row r="711" ht="15.75" customHeight="1" s="199"/>
    <row r="712" ht="15.75" customHeight="1" s="199"/>
    <row r="713" ht="15.75" customHeight="1" s="199"/>
    <row r="714" ht="15.75" customHeight="1" s="199"/>
    <row r="715" ht="15.75" customHeight="1" s="199"/>
    <row r="716" ht="15.75" customHeight="1" s="199"/>
    <row r="717" ht="15.75" customHeight="1" s="199"/>
    <row r="718" ht="15.75" customHeight="1" s="199"/>
    <row r="719" ht="15.75" customHeight="1" s="199"/>
    <row r="720" ht="15.75" customHeight="1" s="199"/>
    <row r="721" ht="15.75" customHeight="1" s="199"/>
    <row r="722" ht="15.75" customHeight="1" s="199"/>
    <row r="723" ht="15.75" customHeight="1" s="199"/>
    <row r="724" ht="15.75" customHeight="1" s="199"/>
    <row r="725" ht="15.75" customHeight="1" s="199"/>
    <row r="726" ht="15.75" customHeight="1" s="199"/>
    <row r="727" ht="15.75" customHeight="1" s="199"/>
    <row r="728" ht="15.75" customHeight="1" s="199"/>
    <row r="729" ht="15.75" customHeight="1" s="199"/>
    <row r="730" ht="15.75" customHeight="1" s="199"/>
    <row r="731" ht="15.75" customHeight="1" s="199"/>
    <row r="732" ht="15.75" customHeight="1" s="199"/>
    <row r="733" ht="15.75" customHeight="1" s="199"/>
    <row r="734" ht="15.75" customHeight="1" s="199"/>
    <row r="735" ht="15.75" customHeight="1" s="199"/>
    <row r="736" ht="15.75" customHeight="1" s="199"/>
    <row r="737" ht="15.75" customHeight="1" s="199"/>
    <row r="738" ht="15.75" customHeight="1" s="199"/>
    <row r="739" ht="15.75" customHeight="1" s="199"/>
    <row r="740" ht="15.75" customHeight="1" s="199"/>
    <row r="741" ht="15.75" customHeight="1" s="199"/>
    <row r="742" ht="15.75" customHeight="1" s="199"/>
    <row r="743" ht="15.75" customHeight="1" s="199"/>
    <row r="744" ht="15.75" customHeight="1" s="199"/>
    <row r="745" ht="15.75" customHeight="1" s="199"/>
    <row r="746" ht="15.75" customHeight="1" s="199"/>
    <row r="747" ht="15.75" customHeight="1" s="199"/>
    <row r="748" ht="15.75" customHeight="1" s="199"/>
    <row r="749" ht="15.75" customHeight="1" s="199"/>
    <row r="750" ht="15.75" customHeight="1" s="199"/>
    <row r="751" ht="15.75" customHeight="1" s="199"/>
    <row r="752" ht="15.75" customHeight="1" s="199"/>
    <row r="753" ht="15.75" customHeight="1" s="199"/>
    <row r="754" ht="15.75" customHeight="1" s="199"/>
    <row r="755" ht="15.75" customHeight="1" s="199"/>
    <row r="756" ht="15.75" customHeight="1" s="199"/>
    <row r="757" ht="15.75" customHeight="1" s="199"/>
    <row r="758" ht="15.75" customHeight="1" s="199"/>
    <row r="759" ht="15.75" customHeight="1" s="199"/>
    <row r="760" ht="15.75" customHeight="1" s="199"/>
    <row r="761" ht="15.75" customHeight="1" s="199"/>
    <row r="762" ht="15.75" customHeight="1" s="199"/>
    <row r="763" ht="15.75" customHeight="1" s="199"/>
    <row r="764" ht="15.75" customHeight="1" s="199"/>
    <row r="765" ht="15.75" customHeight="1" s="199"/>
    <row r="766" ht="15.75" customHeight="1" s="199"/>
    <row r="767" ht="15.75" customHeight="1" s="199"/>
    <row r="768" ht="15.75" customHeight="1" s="199"/>
    <row r="769" ht="15.75" customHeight="1" s="199"/>
    <row r="770" ht="15.75" customHeight="1" s="199"/>
    <row r="771" ht="15.75" customHeight="1" s="199"/>
    <row r="772" ht="15.75" customHeight="1" s="199"/>
    <row r="773" ht="15.75" customHeight="1" s="199"/>
    <row r="774" ht="15.75" customHeight="1" s="199"/>
    <row r="775" ht="15.75" customHeight="1" s="199"/>
    <row r="776" ht="15.75" customHeight="1" s="199"/>
    <row r="777" ht="15.75" customHeight="1" s="199"/>
    <row r="778" ht="15.75" customHeight="1" s="199"/>
    <row r="779" ht="15.75" customHeight="1" s="199"/>
    <row r="780" ht="15.75" customHeight="1" s="199"/>
    <row r="781" ht="15.75" customHeight="1" s="199"/>
    <row r="782" ht="15.75" customHeight="1" s="199"/>
    <row r="783" ht="15.75" customHeight="1" s="199"/>
    <row r="784" ht="15.75" customHeight="1" s="199"/>
    <row r="785" ht="15.75" customHeight="1" s="199"/>
    <row r="786" ht="15.75" customHeight="1" s="199"/>
    <row r="787" ht="15.75" customHeight="1" s="199"/>
    <row r="788" ht="15.75" customHeight="1" s="199"/>
    <row r="789" ht="15.75" customHeight="1" s="199"/>
    <row r="790" ht="15.75" customHeight="1" s="199"/>
    <row r="791" ht="15.75" customHeight="1" s="199"/>
    <row r="792" ht="15.75" customHeight="1" s="199"/>
    <row r="793" ht="15.75" customHeight="1" s="199"/>
    <row r="794" ht="15.75" customHeight="1" s="199"/>
    <row r="795" ht="15.75" customHeight="1" s="199"/>
    <row r="796" ht="15.75" customHeight="1" s="199"/>
    <row r="797" ht="15.75" customHeight="1" s="199"/>
    <row r="798" ht="15.75" customHeight="1" s="199"/>
    <row r="799" ht="15.75" customHeight="1" s="199"/>
    <row r="800" ht="15.75" customHeight="1" s="199"/>
    <row r="801" ht="15.75" customHeight="1" s="199"/>
    <row r="802" ht="15.75" customHeight="1" s="199"/>
    <row r="803" ht="15.75" customHeight="1" s="199"/>
    <row r="804" ht="15.75" customHeight="1" s="199"/>
    <row r="805" ht="15.75" customHeight="1" s="199"/>
    <row r="806" ht="15.75" customHeight="1" s="199"/>
    <row r="807" ht="15.75" customHeight="1" s="199"/>
    <row r="808" ht="15.75" customHeight="1" s="199"/>
    <row r="809" ht="15.75" customHeight="1" s="199"/>
    <row r="810" ht="15.75" customHeight="1" s="199"/>
    <row r="811" ht="15.75" customHeight="1" s="199"/>
    <row r="812" ht="15.75" customHeight="1" s="199"/>
    <row r="813" ht="15.75" customHeight="1" s="199"/>
    <row r="814" ht="15.75" customHeight="1" s="199"/>
    <row r="815" ht="15.75" customHeight="1" s="199"/>
    <row r="816" ht="15.75" customHeight="1" s="199"/>
    <row r="817" ht="15.75" customHeight="1" s="199"/>
    <row r="818" ht="15.75" customHeight="1" s="199"/>
    <row r="819" ht="15.75" customHeight="1" s="199"/>
    <row r="820" ht="15.75" customHeight="1" s="199"/>
    <row r="821" ht="15.75" customHeight="1" s="199"/>
    <row r="822" ht="15.75" customHeight="1" s="199"/>
    <row r="823" ht="15.75" customHeight="1" s="199"/>
    <row r="824" ht="15.75" customHeight="1" s="199"/>
    <row r="825" ht="15.75" customHeight="1" s="199"/>
    <row r="826" ht="15.75" customHeight="1" s="199"/>
    <row r="827" ht="15.75" customHeight="1" s="199"/>
    <row r="828" ht="15.75" customHeight="1" s="199"/>
    <row r="829" ht="15.75" customHeight="1" s="199"/>
    <row r="830" ht="15.75" customHeight="1" s="199"/>
    <row r="831" ht="15.75" customHeight="1" s="199"/>
    <row r="832" ht="15.75" customHeight="1" s="199"/>
    <row r="833" ht="15.75" customHeight="1" s="199"/>
    <row r="834" ht="15.75" customHeight="1" s="199"/>
    <row r="835" ht="15.75" customHeight="1" s="199"/>
    <row r="836" ht="15.75" customHeight="1" s="199"/>
    <row r="837" ht="15.75" customHeight="1" s="199"/>
    <row r="838" ht="15.75" customHeight="1" s="199"/>
    <row r="839" ht="15.75" customHeight="1" s="199"/>
    <row r="840" ht="15.75" customHeight="1" s="199"/>
    <row r="841" ht="15.75" customHeight="1" s="199"/>
    <row r="842" ht="15.75" customHeight="1" s="199"/>
    <row r="843" ht="15.75" customHeight="1" s="199"/>
    <row r="844" ht="15.75" customHeight="1" s="199"/>
    <row r="845" ht="15.75" customHeight="1" s="199"/>
    <row r="846" ht="15.75" customHeight="1" s="199"/>
    <row r="847" ht="15.75" customHeight="1" s="199"/>
    <row r="848" ht="15.75" customHeight="1" s="199"/>
    <row r="849" ht="15.75" customHeight="1" s="199"/>
    <row r="850" ht="15.75" customHeight="1" s="199"/>
    <row r="851" ht="15.75" customHeight="1" s="199"/>
    <row r="852" ht="15.75" customHeight="1" s="199"/>
    <row r="853" ht="15.75" customHeight="1" s="199"/>
    <row r="854" ht="15.75" customHeight="1" s="199"/>
    <row r="855" ht="15.75" customHeight="1" s="199"/>
    <row r="856" ht="15.75" customHeight="1" s="199"/>
    <row r="857" ht="15.75" customHeight="1" s="199"/>
    <row r="858" ht="15.75" customHeight="1" s="199"/>
    <row r="859" ht="15.75" customHeight="1" s="199"/>
    <row r="860" ht="15.75" customHeight="1" s="199"/>
    <row r="861" ht="15.75" customHeight="1" s="199"/>
    <row r="862" ht="15.75" customHeight="1" s="199"/>
    <row r="863" ht="15.75" customHeight="1" s="199"/>
    <row r="864" ht="15.75" customHeight="1" s="199"/>
    <row r="865" ht="15.75" customHeight="1" s="199"/>
    <row r="866" ht="15.75" customHeight="1" s="199"/>
    <row r="867" ht="15.75" customHeight="1" s="199"/>
    <row r="868" ht="15.75" customHeight="1" s="199"/>
    <row r="869" ht="15.75" customHeight="1" s="199"/>
    <row r="870" ht="15.75" customHeight="1" s="199"/>
    <row r="871" ht="15.75" customHeight="1" s="199"/>
    <row r="872" ht="15.75" customHeight="1" s="199"/>
    <row r="873" ht="15.75" customHeight="1" s="199"/>
    <row r="874" ht="15.75" customHeight="1" s="199"/>
    <row r="875" ht="15.75" customHeight="1" s="199"/>
    <row r="876" ht="15.75" customHeight="1" s="199"/>
    <row r="877" ht="15.75" customHeight="1" s="199"/>
    <row r="878" ht="15.75" customHeight="1" s="199"/>
    <row r="879" ht="15.75" customHeight="1" s="199"/>
    <row r="880" ht="15.75" customHeight="1" s="199"/>
    <row r="881" ht="15.75" customHeight="1" s="199"/>
    <row r="882" ht="15.75" customHeight="1" s="199"/>
    <row r="883" ht="15.75" customHeight="1" s="199"/>
    <row r="884" ht="15.75" customHeight="1" s="199"/>
    <row r="885" ht="15.75" customHeight="1" s="199"/>
    <row r="886" ht="15.75" customHeight="1" s="199"/>
    <row r="887" ht="15.75" customHeight="1" s="199"/>
    <row r="888" ht="15.75" customHeight="1" s="199"/>
    <row r="889" ht="15.75" customHeight="1" s="199"/>
    <row r="890" ht="15.75" customHeight="1" s="199"/>
    <row r="891" ht="15.75" customHeight="1" s="199"/>
    <row r="892" ht="15.75" customHeight="1" s="199"/>
    <row r="893" ht="15.75" customHeight="1" s="199"/>
    <row r="894" ht="15.75" customHeight="1" s="199"/>
    <row r="895" ht="15.75" customHeight="1" s="199"/>
    <row r="896" ht="15.75" customHeight="1" s="199"/>
    <row r="897" ht="15.75" customHeight="1" s="199"/>
    <row r="898" ht="15.75" customHeight="1" s="199"/>
    <row r="899" ht="15.75" customHeight="1" s="199"/>
    <row r="900" ht="15.75" customHeight="1" s="199"/>
    <row r="901" ht="15.75" customHeight="1" s="199"/>
    <row r="902" ht="15.75" customHeight="1" s="199"/>
    <row r="903" ht="15.75" customHeight="1" s="199"/>
    <row r="904" ht="15.75" customHeight="1" s="199"/>
    <row r="905" ht="15.75" customHeight="1" s="199"/>
    <row r="906" ht="15.75" customHeight="1" s="199"/>
    <row r="907" ht="15.75" customHeight="1" s="199"/>
    <row r="908" ht="15.75" customHeight="1" s="199"/>
    <row r="909" ht="15.75" customHeight="1" s="199"/>
    <row r="910" ht="15.75" customHeight="1" s="199"/>
    <row r="911" ht="15.75" customHeight="1" s="199"/>
    <row r="912" ht="15.75" customHeight="1" s="199"/>
    <row r="913" ht="15.75" customHeight="1" s="199"/>
    <row r="914" ht="15.75" customHeight="1" s="199"/>
    <row r="915" ht="15.75" customHeight="1" s="199"/>
    <row r="916" ht="15.75" customHeight="1" s="199"/>
    <row r="917" ht="15.75" customHeight="1" s="199"/>
    <row r="918" ht="15.75" customHeight="1" s="199"/>
    <row r="919" ht="15.75" customHeight="1" s="199"/>
    <row r="920" ht="15.75" customHeight="1" s="199"/>
    <row r="921" ht="15.75" customHeight="1" s="199"/>
    <row r="922" ht="15.75" customHeight="1" s="199"/>
    <row r="923" ht="15.75" customHeight="1" s="199"/>
    <row r="924" ht="15.75" customHeight="1" s="199"/>
    <row r="925" ht="15.75" customHeight="1" s="199"/>
    <row r="926" ht="15.75" customHeight="1" s="199"/>
    <row r="927" ht="15.75" customHeight="1" s="199"/>
    <row r="928" ht="15.75" customHeight="1" s="199"/>
    <row r="929" ht="15.75" customHeight="1" s="199"/>
    <row r="930" ht="15.75" customHeight="1" s="199"/>
    <row r="931" ht="15.75" customHeight="1" s="199"/>
    <row r="932" ht="15.75" customHeight="1" s="199"/>
    <row r="933" ht="15.75" customHeight="1" s="199"/>
    <row r="934" ht="15.75" customHeight="1" s="199"/>
    <row r="935" ht="15.75" customHeight="1" s="199"/>
    <row r="936" ht="15.75" customHeight="1" s="199"/>
    <row r="937" ht="15.75" customHeight="1" s="199"/>
    <row r="938" ht="15.75" customHeight="1" s="199"/>
    <row r="939" ht="15.75" customHeight="1" s="199"/>
    <row r="940" ht="15.75" customHeight="1" s="199"/>
    <row r="941" ht="15.75" customHeight="1" s="199"/>
    <row r="942" ht="15.75" customHeight="1" s="199"/>
    <row r="943" ht="15.75" customHeight="1" s="199"/>
    <row r="944" ht="15.75" customHeight="1" s="199"/>
    <row r="945" ht="15.75" customHeight="1" s="199"/>
    <row r="946" ht="15.75" customHeight="1" s="199"/>
    <row r="947" ht="15.75" customHeight="1" s="199"/>
    <row r="948" ht="15.75" customHeight="1" s="199"/>
    <row r="949" ht="15.75" customHeight="1" s="199"/>
    <row r="950" ht="15.75" customHeight="1" s="199"/>
    <row r="951" ht="15.75" customHeight="1" s="199"/>
    <row r="952" ht="15.75" customHeight="1" s="199"/>
    <row r="953" ht="15.75" customHeight="1" s="199"/>
    <row r="954" ht="15.75" customHeight="1" s="199"/>
    <row r="955" ht="15.75" customHeight="1" s="199"/>
    <row r="956" ht="15.75" customHeight="1" s="199"/>
    <row r="957" ht="15.75" customHeight="1" s="199"/>
    <row r="958" ht="15.75" customHeight="1" s="199"/>
    <row r="959" ht="15.75" customHeight="1" s="199"/>
    <row r="960" ht="15.75" customHeight="1" s="199"/>
    <row r="961" ht="15.75" customHeight="1" s="199"/>
    <row r="962" ht="15.75" customHeight="1" s="199"/>
    <row r="963" ht="15.75" customHeight="1" s="199"/>
    <row r="964" ht="15.75" customHeight="1" s="199"/>
    <row r="965" ht="15.75" customHeight="1" s="199"/>
    <row r="966" ht="15.75" customHeight="1" s="199"/>
    <row r="967" ht="15.75" customHeight="1" s="199"/>
    <row r="968" ht="15.75" customHeight="1" s="199"/>
    <row r="969" ht="15.75" customHeight="1" s="199"/>
    <row r="970" ht="15.75" customHeight="1" s="199"/>
    <row r="971" ht="15.75" customHeight="1" s="199"/>
    <row r="972" ht="15.75" customHeight="1" s="199"/>
    <row r="973" ht="15.75" customHeight="1" s="199"/>
    <row r="974" ht="15.75" customHeight="1" s="199"/>
    <row r="975" ht="15.75" customHeight="1" s="199"/>
    <row r="976" ht="15.75" customHeight="1" s="199"/>
    <row r="977" ht="15.75" customHeight="1" s="199"/>
    <row r="978" ht="15.75" customHeight="1" s="199"/>
    <row r="979" ht="15.75" customHeight="1" s="199"/>
    <row r="980" ht="15.75" customHeight="1" s="199"/>
    <row r="981" ht="15.75" customHeight="1" s="199"/>
    <row r="982" ht="15.75" customHeight="1" s="199"/>
    <row r="983" ht="15.75" customHeight="1" s="199"/>
    <row r="984" ht="15.75" customHeight="1" s="199"/>
    <row r="985" ht="15.75" customHeight="1" s="199"/>
    <row r="986" ht="15.75" customHeight="1" s="199"/>
    <row r="987" ht="15.75" customHeight="1" s="199"/>
    <row r="988" ht="15.75" customHeight="1" s="199"/>
    <row r="989" ht="15.75" customHeight="1" s="199"/>
    <row r="990" ht="15.75" customHeight="1" s="199"/>
    <row r="991" ht="15.75" customHeight="1" s="199"/>
    <row r="992" ht="15.75" customHeight="1" s="199"/>
    <row r="993" ht="15.75" customHeight="1" s="199"/>
    <row r="994" ht="15.75" customHeight="1" s="199"/>
    <row r="995" ht="15.75" customHeight="1" s="199"/>
    <row r="996" ht="15.75" customHeight="1" s="199"/>
    <row r="997" ht="15.75" customHeight="1" s="199"/>
    <row r="998" ht="15.75" customHeight="1" s="199"/>
    <row r="999" ht="15.75" customHeight="1" s="199"/>
    <row r="1000" ht="15.75" customHeight="1" s="199"/>
  </sheetData>
  <pageMargins left="0.7" right="0.7" top="0.787401575" bottom="0.7874015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45"/>
  <sheetViews>
    <sheetView showGridLines="0" workbookViewId="0">
      <selection activeCell="A1" sqref="A1"/>
    </sheetView>
  </sheetViews>
  <sheetFormatPr baseColWidth="8" defaultColWidth="12.63" defaultRowHeight="15" customHeight="1"/>
  <cols>
    <col width="4.13" customWidth="1" style="199" min="1" max="1"/>
    <col width="44.38" customWidth="1" style="199" min="2" max="2"/>
    <col width="13.13" customWidth="1" style="199" min="3" max="3"/>
    <col width="11.75" customWidth="1" style="199" min="4" max="4"/>
    <col width="11.5" customWidth="1" style="199" min="5" max="5"/>
    <col width="11.13" customWidth="1" style="199" min="6" max="6"/>
    <col width="23.88" customWidth="1" style="199" min="7" max="7"/>
    <col width="12" customWidth="1" style="199" min="8" max="9"/>
    <col width="26.5" customWidth="1" style="199" min="10" max="10"/>
    <col width="7" customWidth="1" style="199" min="11" max="13"/>
    <col width="11.13" customWidth="1" style="199" min="14" max="26"/>
  </cols>
  <sheetData>
    <row r="1" ht="13.5" customHeight="1" s="199">
      <c r="A1" s="111" t="inlineStr">
        <is>
          <t xml:space="preserve"> PODROBNÝ ROZPOČET PROJEKTU 2027</t>
        </is>
      </c>
      <c r="B1" s="112" t="n"/>
      <c r="C1" s="112" t="n"/>
      <c r="D1" s="112" t="n"/>
      <c r="E1" s="112" t="n"/>
      <c r="F1" s="112" t="n"/>
      <c r="G1" s="112" t="n"/>
      <c r="H1" s="112" t="n"/>
      <c r="I1" s="113" t="n"/>
      <c r="J1" s="113" t="n"/>
      <c r="K1" s="113" t="n"/>
    </row>
    <row r="2" ht="24.75" customHeight="1" s="199">
      <c r="A2" s="114" t="n"/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3" t="n"/>
      <c r="L2" s="113" t="n"/>
      <c r="M2" s="113" t="n"/>
    </row>
    <row r="3" ht="13.5" customHeight="1" s="199">
      <c r="A3" s="259" t="inlineStr">
        <is>
          <t xml:space="preserve">ROZPOČET
</t>
        </is>
      </c>
      <c r="B3" s="255" t="n"/>
      <c r="C3" s="255" t="n"/>
      <c r="D3" s="255" t="n"/>
      <c r="E3" s="255" t="n"/>
      <c r="F3" s="255" t="n"/>
      <c r="G3" s="256" t="n"/>
      <c r="H3" s="260" t="inlineStr">
        <is>
          <t xml:space="preserve">ZDROJE FINANCOVÁNÍ
</t>
        </is>
      </c>
      <c r="I3" s="255" t="n"/>
      <c r="J3" s="261" t="n"/>
      <c r="K3" s="113" t="n"/>
      <c r="L3" s="113" t="n"/>
      <c r="M3" s="113" t="n"/>
    </row>
    <row r="4" ht="48.75" customHeight="1" s="199">
      <c r="A4" s="119" t="n"/>
      <c r="B4" s="120" t="n"/>
      <c r="C4" s="120" t="inlineStr">
        <is>
          <t>jednotka (název)</t>
        </is>
      </c>
      <c r="D4" s="120" t="inlineStr">
        <is>
          <t>počet jednotek</t>
        </is>
      </c>
      <c r="E4" s="121" t="inlineStr">
        <is>
          <t>jednotková cena včetně DPH</t>
        </is>
      </c>
      <c r="F4" s="122" t="inlineStr">
        <is>
          <t>Celkem</t>
        </is>
      </c>
      <c r="G4" s="123" t="inlineStr">
        <is>
          <t>Povinný komentář (odůvodnění)</t>
        </is>
      </c>
      <c r="H4" s="124" t="inlineStr">
        <is>
          <t xml:space="preserve">ČB28 </t>
        </is>
      </c>
      <c r="I4" s="120" t="inlineStr">
        <is>
          <t>DALŠÍ ZDROJE</t>
        </is>
      </c>
      <c r="J4" s="125" t="inlineStr">
        <is>
          <t>KOMENTÁŘ</t>
        </is>
      </c>
    </row>
    <row r="5" ht="13.5" customHeight="1" s="199">
      <c r="A5" s="126" t="inlineStr">
        <is>
          <t>1.</t>
        </is>
      </c>
      <c r="B5" s="127" t="inlineStr">
        <is>
          <t>Náklady na realizační tým - zaměstnanci (mzdy, platy a OON, DPP, DPČ, vč. odvodů)</t>
        </is>
      </c>
      <c r="C5" s="128" t="inlineStr">
        <is>
          <t>např. hodina, měsíc</t>
        </is>
      </c>
      <c r="D5" s="129" t="n"/>
      <c r="E5" s="129" t="n"/>
      <c r="F5" s="129">
        <f>SUM(F6:F9)</f>
        <v/>
      </c>
      <c r="G5" s="130" t="n"/>
      <c r="H5" s="129">
        <f>SUM(H6:H9)</f>
        <v/>
      </c>
      <c r="I5" s="129">
        <f>SUM(I6:I9)</f>
        <v/>
      </c>
      <c r="J5" s="131" t="n"/>
    </row>
    <row r="6" ht="13.5" customHeight="1" s="199">
      <c r="A6" s="132">
        <f>"1."&amp;(ROW()-ROW(A$5))</f>
        <v/>
      </c>
      <c r="B6" s="133" t="inlineStr">
        <is>
          <t>zaměstnanci</t>
        </is>
      </c>
      <c r="C6" s="134" t="n"/>
      <c r="D6" s="134" t="n"/>
      <c r="E6" s="134" t="n"/>
      <c r="F6" s="135">
        <f>SUM(D6*E6)</f>
        <v/>
      </c>
      <c r="G6" s="136" t="n"/>
      <c r="H6" s="137" t="n"/>
      <c r="I6" s="138" t="n"/>
      <c r="J6" s="139" t="n"/>
    </row>
    <row r="7" ht="13.5" customHeight="1" s="199">
      <c r="A7" s="132">
        <f>"1."&amp;(ROW()-ROW(A$5))</f>
        <v/>
      </c>
      <c r="B7" s="133" t="inlineStr">
        <is>
          <t xml:space="preserve">zaměstnanci </t>
        </is>
      </c>
      <c r="C7" s="134" t="n"/>
      <c r="D7" s="135" t="n"/>
      <c r="E7" s="134" t="n"/>
      <c r="F7" s="135">
        <f>SUM(D7*E7)</f>
        <v/>
      </c>
      <c r="G7" s="140" t="n"/>
      <c r="H7" s="141" t="n"/>
      <c r="I7" s="138" t="n"/>
      <c r="J7" s="139" t="n"/>
    </row>
    <row r="8" ht="13.5" customHeight="1" s="199">
      <c r="A8" s="132">
        <f>"1."&amp;(ROW()-ROW(A$5))</f>
        <v/>
      </c>
      <c r="B8" s="142" t="inlineStr">
        <is>
          <t>DPP / DPČ</t>
        </is>
      </c>
      <c r="C8" s="134" t="n"/>
      <c r="D8" s="135" t="n"/>
      <c r="E8" s="134" t="n"/>
      <c r="F8" s="135">
        <f>SUM(D8*E8)</f>
        <v/>
      </c>
      <c r="G8" s="140" t="n"/>
      <c r="H8" s="141" t="n"/>
      <c r="I8" s="138" t="n"/>
      <c r="J8" s="139" t="n"/>
    </row>
    <row r="9" ht="13.5" customHeight="1" s="199">
      <c r="A9" s="132">
        <f>"1."&amp;(ROW()-ROW(A$5))</f>
        <v/>
      </c>
      <c r="B9" s="142" t="inlineStr">
        <is>
          <t>DPP / DPČ</t>
        </is>
      </c>
      <c r="C9" s="135" t="n"/>
      <c r="D9" s="135" t="n"/>
      <c r="E9" s="134" t="n"/>
      <c r="F9" s="135">
        <f>SUM(D9*E9)</f>
        <v/>
      </c>
      <c r="G9" s="140" t="n"/>
      <c r="H9" s="141" t="n"/>
      <c r="I9" s="138" t="n"/>
      <c r="J9" s="139" t="n"/>
    </row>
    <row r="10" ht="13.5" customHeight="1" s="199">
      <c r="A10" s="143" t="inlineStr">
        <is>
          <t>2.</t>
        </is>
      </c>
      <c r="B10" s="127" t="inlineStr">
        <is>
          <t>Náklady na realizační tým - externí spolupracovníci (kurátor, projektový manažer, produkční, experti... - faktury, smlouvy o dílo)</t>
        </is>
      </c>
      <c r="C10" s="128" t="inlineStr">
        <is>
          <t>např. hodina, měsíc</t>
        </is>
      </c>
      <c r="D10" s="129" t="n"/>
      <c r="E10" s="129" t="n"/>
      <c r="F10" s="129">
        <f>SUM(F11:F14)</f>
        <v/>
      </c>
      <c r="G10" s="130" t="n"/>
      <c r="H10" s="129">
        <f>SUM(H11:H14)</f>
        <v/>
      </c>
      <c r="I10" s="129">
        <f>SUM(I11:I14)</f>
        <v/>
      </c>
      <c r="J10" s="131" t="n"/>
    </row>
    <row r="11" ht="13.5" customHeight="1" s="199">
      <c r="A11" s="132">
        <f>$A$10&amp;(ROW()-ROW(A$10))</f>
        <v/>
      </c>
      <c r="B11" s="144" t="n"/>
      <c r="C11" s="145" t="n"/>
      <c r="D11" s="145" t="n"/>
      <c r="E11" s="145" t="n"/>
      <c r="F11" s="135">
        <f>SUM(D11*E11)</f>
        <v/>
      </c>
      <c r="G11" s="146" t="n"/>
      <c r="H11" s="137" t="n"/>
      <c r="I11" s="138" t="n"/>
      <c r="J11" s="139" t="n"/>
    </row>
    <row r="12" ht="13.5" customHeight="1" s="199">
      <c r="A12" s="132">
        <f>$A$10&amp;(ROW()-ROW(A$10))</f>
        <v/>
      </c>
      <c r="B12" s="144" t="n"/>
      <c r="C12" s="145" t="n"/>
      <c r="D12" s="145" t="n"/>
      <c r="E12" s="145" t="n"/>
      <c r="F12" s="135">
        <f>SUM(D12*E12)</f>
        <v/>
      </c>
      <c r="G12" s="146" t="n"/>
      <c r="H12" s="141" t="n"/>
      <c r="I12" s="147" t="n"/>
      <c r="J12" s="148" t="n"/>
    </row>
    <row r="13" ht="13.5" customHeight="1" s="199">
      <c r="A13" s="132">
        <f>$A$10&amp;(ROW()-ROW(A$10))</f>
        <v/>
      </c>
      <c r="B13" s="142" t="n"/>
      <c r="C13" s="135" t="n"/>
      <c r="D13" s="135" t="n"/>
      <c r="E13" s="135" t="n"/>
      <c r="F13" s="135">
        <f>SUM(D13*E13)</f>
        <v/>
      </c>
      <c r="G13" s="140" t="n"/>
      <c r="H13" s="141" t="n"/>
      <c r="I13" s="147" t="n"/>
      <c r="J13" s="148" t="n"/>
    </row>
    <row r="14" ht="13.5" customHeight="1" s="199">
      <c r="A14" s="132">
        <f>$A$10&amp;(ROW()-ROW(A$10))</f>
        <v/>
      </c>
      <c r="B14" s="142" t="n"/>
      <c r="C14" s="135" t="n"/>
      <c r="D14" s="135" t="n"/>
      <c r="E14" s="135" t="n"/>
      <c r="F14" s="135">
        <f>SUM(D14*E14)</f>
        <v/>
      </c>
      <c r="G14" s="140" t="n"/>
      <c r="H14" s="141" t="n"/>
      <c r="I14" s="147" t="n"/>
      <c r="J14" s="148" t="n"/>
    </row>
    <row r="15" ht="13.5" customHeight="1" s="199">
      <c r="A15" s="126" t="inlineStr">
        <is>
          <t>3.</t>
        </is>
      </c>
      <c r="B15" s="127" t="inlineStr">
        <is>
          <t>Náklady na programovou náplň projektu (vystupující, umělecké honoráře, přednášející, moderace, lektoři - faktury, smlouvy o dílo)</t>
        </is>
      </c>
      <c r="C15" s="128" t="inlineStr">
        <is>
          <t>např. hodina, měsíc</t>
        </is>
      </c>
      <c r="D15" s="129" t="n"/>
      <c r="E15" s="129" t="n"/>
      <c r="F15" s="129">
        <f>SUM(F16:F20)</f>
        <v/>
      </c>
      <c r="G15" s="130" t="n"/>
      <c r="H15" s="129">
        <f>SUM(H16:H20)</f>
        <v/>
      </c>
      <c r="I15" s="129">
        <f>SUM(I16:I20)</f>
        <v/>
      </c>
      <c r="J15" s="131" t="n"/>
    </row>
    <row r="16" ht="13.5" customHeight="1" s="199">
      <c r="A16" s="132">
        <f>$A$15&amp;(ROW()-ROW(A$15))</f>
        <v/>
      </c>
      <c r="B16" s="133" t="n"/>
      <c r="C16" s="138" t="n"/>
      <c r="D16" s="134" t="n"/>
      <c r="E16" s="134" t="n"/>
      <c r="F16" s="135">
        <f>SUM(D16*E16)</f>
        <v/>
      </c>
      <c r="G16" s="149" t="n"/>
      <c r="H16" s="141" t="n"/>
      <c r="I16" s="150" t="n"/>
      <c r="J16" s="151" t="n"/>
    </row>
    <row r="17" ht="13.5" customHeight="1" s="199">
      <c r="A17" s="132">
        <f>$A$15&amp;(ROW()-ROW(A$15))</f>
        <v/>
      </c>
      <c r="B17" s="142" t="n"/>
      <c r="C17" s="138" t="n"/>
      <c r="D17" s="135" t="n"/>
      <c r="E17" s="135" t="n"/>
      <c r="F17" s="135">
        <f>SUM(D17*E17)</f>
        <v/>
      </c>
      <c r="G17" s="149" t="n"/>
      <c r="H17" s="141" t="n"/>
      <c r="I17" s="150" t="n"/>
      <c r="J17" s="151" t="n"/>
    </row>
    <row r="18" ht="13.5" customHeight="1" s="199">
      <c r="A18" s="132">
        <f>$A$15&amp;(ROW()-ROW(A$15))</f>
        <v/>
      </c>
      <c r="B18" s="142" t="n"/>
      <c r="C18" s="147" t="n"/>
      <c r="D18" s="135" t="n"/>
      <c r="E18" s="135" t="n"/>
      <c r="F18" s="135">
        <f>SUM(D18*E18)</f>
        <v/>
      </c>
      <c r="G18" s="140" t="n"/>
      <c r="H18" s="141" t="n"/>
      <c r="I18" s="147" t="n"/>
      <c r="J18" s="148" t="n"/>
    </row>
    <row r="19" ht="13.5" customHeight="1" s="199">
      <c r="A19" s="132">
        <f>$A$15&amp;(ROW()-ROW(A$15))</f>
        <v/>
      </c>
      <c r="B19" s="142" t="n"/>
      <c r="C19" s="147" t="n"/>
      <c r="D19" s="135" t="n"/>
      <c r="E19" s="135" t="n"/>
      <c r="F19" s="135">
        <f>SUM(D19*E19)</f>
        <v/>
      </c>
      <c r="G19" s="140" t="n"/>
      <c r="H19" s="141" t="n"/>
      <c r="I19" s="152" t="n"/>
      <c r="J19" s="153" t="n"/>
    </row>
    <row r="20" ht="13.5" customHeight="1" s="199">
      <c r="A20" s="132">
        <f>$A$15&amp;(ROW()-ROW(A$15))</f>
        <v/>
      </c>
      <c r="B20" s="142" t="n"/>
      <c r="C20" s="147" t="n"/>
      <c r="D20" s="135" t="n"/>
      <c r="E20" s="135" t="n"/>
      <c r="F20" s="135">
        <f>SUM(D20*E20)</f>
        <v/>
      </c>
      <c r="G20" s="140" t="n"/>
      <c r="H20" s="141" t="n"/>
      <c r="I20" s="147" t="n"/>
      <c r="J20" s="148" t="n"/>
    </row>
    <row r="21" ht="13.5" customHeight="1" s="199">
      <c r="A21" s="126" t="inlineStr">
        <is>
          <t>4.</t>
        </is>
      </c>
      <c r="B21" s="127" t="inlineStr">
        <is>
          <t>Náklady na produkci výstupů projektu – služby (pronájmy, technické zajištění, tlumočení, catering, přeprava mobiliáře apod.)</t>
        </is>
      </c>
      <c r="C21" s="128" t="inlineStr">
        <is>
          <t>např. hodina, měsíc</t>
        </is>
      </c>
      <c r="D21" s="129" t="n"/>
      <c r="E21" s="129" t="n"/>
      <c r="F21" s="129">
        <f>SUM(F22:F27)</f>
        <v/>
      </c>
      <c r="G21" s="130" t="n"/>
      <c r="H21" s="129">
        <f>SUM(H22:H27)</f>
        <v/>
      </c>
      <c r="I21" s="129">
        <f>SUM(I22:I27)</f>
        <v/>
      </c>
      <c r="J21" s="131" t="n"/>
    </row>
    <row r="22" ht="20.25" customHeight="1" s="199">
      <c r="A22" s="132">
        <f>$A$21&amp;(ROW()-ROW(A$21))</f>
        <v/>
      </c>
      <c r="B22" s="133" t="n"/>
      <c r="C22" s="134" t="n"/>
      <c r="D22" s="134" t="n"/>
      <c r="E22" s="134" t="n"/>
      <c r="F22" s="135">
        <f>SUM(D22*E22)</f>
        <v/>
      </c>
      <c r="G22" s="140" t="n"/>
      <c r="H22" s="141" t="n"/>
      <c r="I22" s="150" t="n"/>
      <c r="J22" s="151" t="n"/>
    </row>
    <row r="23" ht="13.5" customHeight="1" s="199">
      <c r="A23" s="132">
        <f>$A$21&amp;(ROW()-ROW(A$21))</f>
        <v/>
      </c>
      <c r="B23" s="142" t="n"/>
      <c r="C23" s="135" t="n"/>
      <c r="D23" s="135" t="n"/>
      <c r="E23" s="135" t="n"/>
      <c r="F23" s="135">
        <f>SUM(D23*E23)</f>
        <v/>
      </c>
      <c r="G23" s="140" t="n"/>
      <c r="H23" s="141" t="n"/>
      <c r="I23" s="147" t="n"/>
      <c r="J23" s="148" t="n"/>
    </row>
    <row r="24" ht="13.5" customHeight="1" s="199">
      <c r="A24" s="132">
        <f>$A$21&amp;(ROW()-ROW(A$21))</f>
        <v/>
      </c>
      <c r="B24" s="142" t="n"/>
      <c r="C24" s="135" t="n"/>
      <c r="D24" s="135" t="n"/>
      <c r="E24" s="135" t="n"/>
      <c r="F24" s="135">
        <f>SUM(D24*E24)</f>
        <v/>
      </c>
      <c r="G24" s="140" t="n"/>
      <c r="H24" s="141" t="n"/>
      <c r="I24" s="147" t="n"/>
      <c r="J24" s="148" t="n"/>
    </row>
    <row r="25" ht="13.5" customHeight="1" s="199">
      <c r="A25" s="132">
        <f>$A$21&amp;(ROW()-ROW(A$21))</f>
        <v/>
      </c>
      <c r="B25" s="142" t="n"/>
      <c r="C25" s="135" t="n"/>
      <c r="D25" s="135" t="n"/>
      <c r="E25" s="135" t="n"/>
      <c r="F25" s="135">
        <f>SUM(D25*E25)</f>
        <v/>
      </c>
      <c r="G25" s="140" t="n"/>
      <c r="H25" s="141" t="n"/>
      <c r="I25" s="147" t="n"/>
      <c r="J25" s="148" t="n"/>
    </row>
    <row r="26" ht="13.5" customHeight="1" s="199">
      <c r="A26" s="132">
        <f>$A$21&amp;(ROW()-ROW(A$21))</f>
        <v/>
      </c>
      <c r="B26" s="142" t="n"/>
      <c r="C26" s="135" t="n"/>
      <c r="D26" s="135" t="n"/>
      <c r="E26" s="135" t="n"/>
      <c r="F26" s="135">
        <f>SUM(D26*E26)</f>
        <v/>
      </c>
      <c r="G26" s="140" t="n"/>
      <c r="H26" s="141" t="n"/>
      <c r="I26" s="147" t="n"/>
      <c r="J26" s="148" t="n"/>
    </row>
    <row r="27" ht="13.5" customHeight="1" s="199">
      <c r="A27" s="132">
        <f>$A$21&amp;(ROW()-ROW(A$21))</f>
        <v/>
      </c>
      <c r="B27" s="142" t="n"/>
      <c r="C27" s="135" t="n"/>
      <c r="D27" s="135" t="n"/>
      <c r="E27" s="135" t="n"/>
      <c r="F27" s="135">
        <f>SUM(D27*E27)</f>
        <v/>
      </c>
      <c r="G27" s="140" t="n"/>
      <c r="H27" s="141" t="n"/>
      <c r="I27" s="147" t="n"/>
      <c r="J27" s="148" t="n"/>
    </row>
    <row r="28" ht="13.5" customHeight="1" s="199">
      <c r="A28" s="126" t="inlineStr">
        <is>
          <t>5.</t>
        </is>
      </c>
      <c r="B28" s="127" t="inlineStr">
        <is>
          <t>Náklady na produkci výstupů projektu – materiál (vybavení, přímý nákup občerstvení v obchodě apod.)</t>
        </is>
      </c>
      <c r="C28" s="154" t="inlineStr">
        <is>
          <t>např. kus, ...</t>
        </is>
      </c>
      <c r="D28" s="129" t="n"/>
      <c r="E28" s="129" t="n"/>
      <c r="F28" s="129">
        <f>SUM(F29:F32)</f>
        <v/>
      </c>
      <c r="G28" s="130" t="n"/>
      <c r="H28" s="129">
        <f>SUM(H29:H32)</f>
        <v/>
      </c>
      <c r="I28" s="129">
        <f>SUM(I29:I32)</f>
        <v/>
      </c>
      <c r="J28" s="131" t="n"/>
    </row>
    <row r="29" ht="23.25" customHeight="1" s="199">
      <c r="A29" s="155" t="n">
        <v>45296</v>
      </c>
      <c r="B29" s="133" t="n"/>
      <c r="C29" s="134" t="n"/>
      <c r="D29" s="134" t="n"/>
      <c r="E29" s="134" t="n"/>
      <c r="F29" s="135">
        <f>SUM(D29*E29)</f>
        <v/>
      </c>
      <c r="G29" s="140" t="n"/>
      <c r="H29" s="141" t="n"/>
      <c r="I29" s="150" t="n"/>
      <c r="J29" s="151" t="n"/>
    </row>
    <row r="30" ht="13.5" customHeight="1" s="199">
      <c r="A30" s="155" t="n">
        <v>45327</v>
      </c>
      <c r="B30" s="142" t="n"/>
      <c r="C30" s="135" t="n"/>
      <c r="D30" s="135" t="n"/>
      <c r="E30" s="135" t="n"/>
      <c r="F30" s="135">
        <f>SUM(D30*E30)</f>
        <v/>
      </c>
      <c r="G30" s="140" t="n"/>
      <c r="H30" s="141" t="n"/>
      <c r="I30" s="147" t="n"/>
      <c r="J30" s="148" t="n"/>
    </row>
    <row r="31" ht="13.5" customHeight="1" s="199">
      <c r="A31" s="155" t="n">
        <v>45356</v>
      </c>
      <c r="B31" s="142" t="n"/>
      <c r="C31" s="135" t="n"/>
      <c r="D31" s="135" t="n"/>
      <c r="E31" s="135" t="n"/>
      <c r="F31" s="135">
        <f>SUM(D31*E31)</f>
        <v/>
      </c>
      <c r="G31" s="140" t="n"/>
      <c r="H31" s="141" t="n"/>
      <c r="I31" s="147" t="n"/>
      <c r="J31" s="148" t="n"/>
    </row>
    <row r="32" ht="13.5" customHeight="1" s="199">
      <c r="A32" s="155" t="n">
        <v>45387</v>
      </c>
      <c r="B32" s="156" t="n"/>
      <c r="C32" s="135" t="n"/>
      <c r="D32" s="135" t="n"/>
      <c r="E32" s="135" t="n"/>
      <c r="F32" s="135">
        <f>SUM(D32*E32)</f>
        <v/>
      </c>
      <c r="G32" s="140" t="n"/>
      <c r="H32" s="141" t="n"/>
      <c r="I32" s="147" t="n"/>
      <c r="J32" s="148" t="n"/>
    </row>
    <row r="33" ht="13.5" customHeight="1" s="199">
      <c r="A33" s="157" t="inlineStr">
        <is>
          <t>6.</t>
        </is>
      </c>
      <c r="B33" s="158" t="inlineStr">
        <is>
          <t>Cestovné &amp; Ubytování (ubytování a cesty vystupujících, cestovné realizačního týmu)</t>
        </is>
      </c>
      <c r="C33" s="159" t="inlineStr">
        <is>
          <t>např. noc, cesta</t>
        </is>
      </c>
      <c r="D33" s="160" t="n"/>
      <c r="E33" s="160" t="n"/>
      <c r="F33" s="160">
        <f>SUM(F34:F38)</f>
        <v/>
      </c>
      <c r="G33" s="161" t="n"/>
      <c r="H33" s="160">
        <f>SUM(H34:H38)</f>
        <v/>
      </c>
      <c r="I33" s="160">
        <f>SUM(I34:I38)</f>
        <v/>
      </c>
      <c r="J33" s="162" t="n"/>
      <c r="K33" s="163" t="n"/>
      <c r="L33" s="163" t="n"/>
      <c r="M33" s="163" t="n"/>
    </row>
    <row r="34" ht="13.5" customHeight="1" s="199">
      <c r="A34" s="164">
        <f>$A$33&amp;(ROW()-ROW(A$33))</f>
        <v/>
      </c>
      <c r="B34" s="165" t="n"/>
      <c r="C34" s="166" t="n"/>
      <c r="D34" s="167" t="n"/>
      <c r="E34" s="168" t="n"/>
      <c r="F34" s="135">
        <f>SUM(D34*E34)</f>
        <v/>
      </c>
      <c r="G34" s="149" t="n"/>
      <c r="H34" s="141" t="n"/>
      <c r="I34" s="138" t="n"/>
      <c r="J34" s="139" t="n"/>
      <c r="K34" s="163" t="n"/>
      <c r="L34" s="163" t="n"/>
      <c r="M34" s="163" t="n"/>
    </row>
    <row r="35" ht="13.5" customHeight="1" s="199">
      <c r="A35" s="164">
        <f>$A$33&amp;(ROW()-ROW(A$33))</f>
        <v/>
      </c>
      <c r="B35" s="169" t="n"/>
      <c r="C35" s="147" t="n"/>
      <c r="D35" s="141" t="n"/>
      <c r="E35" s="147" t="n"/>
      <c r="F35" s="135">
        <f>SUM(D35*E35)</f>
        <v/>
      </c>
      <c r="G35" s="140" t="n"/>
      <c r="H35" s="141" t="n"/>
      <c r="I35" s="147" t="n"/>
      <c r="J35" s="148" t="n"/>
      <c r="K35" s="163" t="n"/>
      <c r="L35" s="163" t="n"/>
      <c r="M35" s="163" t="n"/>
    </row>
    <row r="36" ht="13.5" customHeight="1" s="199">
      <c r="A36" s="164">
        <f>$A$33&amp;(ROW()-ROW(A$33))</f>
        <v/>
      </c>
      <c r="B36" s="169" t="n"/>
      <c r="C36" s="147" t="n"/>
      <c r="D36" s="141" t="n"/>
      <c r="E36" s="141" t="n"/>
      <c r="F36" s="135">
        <f>SUM(D36*E36)</f>
        <v/>
      </c>
      <c r="G36" s="140" t="n"/>
      <c r="H36" s="141" t="n"/>
      <c r="I36" s="147" t="n"/>
      <c r="J36" s="148" t="n"/>
      <c r="K36" s="163" t="n"/>
      <c r="L36" s="163" t="n"/>
      <c r="M36" s="163" t="n"/>
    </row>
    <row r="37" ht="13.5" customHeight="1" s="199">
      <c r="A37" s="164">
        <f>$A$33&amp;(ROW()-ROW(A$33))</f>
        <v/>
      </c>
      <c r="B37" s="169" t="n"/>
      <c r="C37" s="147" t="n"/>
      <c r="D37" s="141" t="n"/>
      <c r="E37" s="141" t="n"/>
      <c r="F37" s="135">
        <f>SUM(D37*E37)</f>
        <v/>
      </c>
      <c r="G37" s="140" t="n"/>
      <c r="H37" s="141" t="n"/>
      <c r="I37" s="147" t="n"/>
      <c r="J37" s="148" t="n"/>
      <c r="K37" s="163" t="n"/>
      <c r="L37" s="163" t="n"/>
      <c r="M37" s="163" t="n"/>
    </row>
    <row r="38" ht="13.5" customHeight="1" s="199">
      <c r="A38" s="164">
        <f>$A$33&amp;(ROW()-ROW(A$33))</f>
        <v/>
      </c>
      <c r="B38" s="169" t="n"/>
      <c r="C38" s="147" t="n"/>
      <c r="D38" s="141" t="n"/>
      <c r="E38" s="141" t="n"/>
      <c r="F38" s="135">
        <f>SUM(D38*E38)</f>
        <v/>
      </c>
      <c r="G38" s="140" t="n"/>
      <c r="H38" s="141" t="n"/>
      <c r="I38" s="147" t="n"/>
      <c r="J38" s="148" t="n"/>
      <c r="K38" s="163" t="n"/>
      <c r="L38" s="163" t="n"/>
      <c r="M38" s="163" t="n"/>
    </row>
    <row r="39" ht="13.5" customHeight="1" s="199">
      <c r="A39" s="157" t="inlineStr">
        <is>
          <t>7.</t>
        </is>
      </c>
      <c r="B39" s="170" t="inlineStr">
        <is>
          <t>Propagace (práce, grafika, tisk, reklamní prostor, foto, video)</t>
        </is>
      </c>
      <c r="C39" s="171" t="n"/>
      <c r="D39" s="160" t="n"/>
      <c r="E39" s="160" t="n"/>
      <c r="F39" s="160">
        <f>SUM(F40:F44)</f>
        <v/>
      </c>
      <c r="G39" s="161" t="n"/>
      <c r="H39" s="160">
        <f>SUM(H40:H44)</f>
        <v/>
      </c>
      <c r="I39" s="160">
        <f>SUM(I40:I44)</f>
        <v/>
      </c>
      <c r="J39" s="162" t="n"/>
      <c r="K39" s="163" t="n"/>
      <c r="L39" s="163" t="n"/>
      <c r="M39" s="163" t="n"/>
    </row>
    <row r="40" ht="13.5" customHeight="1" s="199">
      <c r="A40" s="172">
        <f>$A$39&amp;(ROW()-ROW(A$39))</f>
        <v/>
      </c>
      <c r="B40" s="169" t="n"/>
      <c r="C40" s="147" t="n"/>
      <c r="D40" s="138" t="n"/>
      <c r="E40" s="138" t="n"/>
      <c r="F40" s="135">
        <f>SUM(D40*E40)</f>
        <v/>
      </c>
      <c r="G40" s="149" t="n"/>
      <c r="H40" s="141" t="n"/>
      <c r="I40" s="138" t="n"/>
      <c r="J40" s="139" t="n"/>
      <c r="K40" s="163" t="n"/>
      <c r="L40" s="163" t="n"/>
      <c r="M40" s="163" t="n"/>
    </row>
    <row r="41" ht="13.5" customHeight="1" s="199">
      <c r="A41" s="172">
        <f>$A$39&amp;(ROW()-ROW(A$39))</f>
        <v/>
      </c>
      <c r="B41" s="169" t="n"/>
      <c r="C41" s="147" t="n"/>
      <c r="D41" s="147" t="n"/>
      <c r="E41" s="147" t="n"/>
      <c r="F41" s="135">
        <f>SUM(D41*E41)</f>
        <v/>
      </c>
      <c r="G41" s="140" t="n"/>
      <c r="H41" s="141" t="n"/>
      <c r="I41" s="147" t="n"/>
      <c r="J41" s="148" t="n"/>
      <c r="K41" s="163" t="n"/>
      <c r="L41" s="163" t="n"/>
      <c r="M41" s="163" t="n"/>
    </row>
    <row r="42" ht="13.5" customHeight="1" s="199">
      <c r="A42" s="172">
        <f>$A$39&amp;(ROW()-ROW(A$39))</f>
        <v/>
      </c>
      <c r="B42" s="169" t="n"/>
      <c r="C42" s="147" t="n"/>
      <c r="D42" s="141" t="n"/>
      <c r="E42" s="141" t="n"/>
      <c r="F42" s="135">
        <f>SUM(D42*E42)</f>
        <v/>
      </c>
      <c r="G42" s="140" t="n"/>
      <c r="H42" s="141" t="n"/>
      <c r="I42" s="147" t="n"/>
      <c r="J42" s="148" t="n"/>
      <c r="K42" s="163" t="n"/>
      <c r="L42" s="163" t="n"/>
      <c r="M42" s="163" t="n"/>
    </row>
    <row r="43" ht="13.5" customHeight="1" s="199">
      <c r="A43" s="172">
        <f>$A$39&amp;(ROW()-ROW(A$39))</f>
        <v/>
      </c>
      <c r="B43" s="169" t="n"/>
      <c r="C43" s="147" t="n"/>
      <c r="D43" s="141" t="n"/>
      <c r="E43" s="141" t="n"/>
      <c r="F43" s="135">
        <f>SUM(D43*E43)</f>
        <v/>
      </c>
      <c r="G43" s="140" t="n"/>
      <c r="H43" s="141" t="n"/>
      <c r="I43" s="147" t="n"/>
      <c r="J43" s="148" t="n"/>
      <c r="K43" s="163" t="n"/>
      <c r="L43" s="163" t="n"/>
      <c r="M43" s="163" t="n"/>
    </row>
    <row r="44" ht="13.5" customHeight="1" s="199">
      <c r="A44" s="172">
        <f>$A$39&amp;(ROW()-ROW(A$39))</f>
        <v/>
      </c>
      <c r="B44" s="169" t="n"/>
      <c r="C44" s="147" t="n"/>
      <c r="D44" s="141" t="n"/>
      <c r="E44" s="141" t="n"/>
      <c r="F44" s="135">
        <f>SUM(D44*E44)</f>
        <v/>
      </c>
      <c r="G44" s="140" t="n"/>
      <c r="H44" s="141" t="n"/>
      <c r="I44" s="147" t="n"/>
      <c r="J44" s="148" t="n"/>
      <c r="K44" s="163" t="n"/>
      <c r="L44" s="163" t="n"/>
      <c r="M44" s="163" t="n"/>
    </row>
    <row r="45" ht="19.5" customHeight="1" s="199">
      <c r="A45" s="173" t="inlineStr">
        <is>
          <t>A1</t>
        </is>
      </c>
      <c r="B45" s="174" t="inlineStr">
        <is>
          <t xml:space="preserve">Náklady celkem </t>
        </is>
      </c>
      <c r="C45" s="175" t="n"/>
      <c r="D45" s="175" t="n"/>
      <c r="E45" s="175" t="n"/>
      <c r="F45" s="175">
        <f>F33+F21+F15+F10+F5+F28+F39</f>
        <v/>
      </c>
      <c r="G45" s="176" t="n"/>
      <c r="H45" s="177">
        <f>H33+H21+H15+H10+H5+H39+H28</f>
        <v/>
      </c>
      <c r="I45" s="177">
        <f>I33+I21+I15+I10+I5+I39+I28</f>
        <v/>
      </c>
      <c r="J45" s="178" t="n"/>
    </row>
    <row r="46" ht="18" customHeight="1" s="199">
      <c r="A46" s="114" t="n"/>
      <c r="B46" s="179" t="n"/>
      <c r="C46" s="180" t="n"/>
      <c r="D46" s="180" t="n"/>
      <c r="E46" s="180" t="n"/>
      <c r="F46" s="180" t="n"/>
      <c r="G46" s="180" t="n"/>
      <c r="H46" s="181" t="n"/>
      <c r="I46" s="180" t="n"/>
      <c r="J46" s="180" t="n"/>
      <c r="K46" s="113" t="n"/>
      <c r="L46" s="113" t="n"/>
      <c r="M46" s="113" t="n"/>
    </row>
    <row r="47" ht="13.5" customHeight="1" s="199">
      <c r="A47" s="114" t="n"/>
      <c r="B47" s="182" t="n"/>
      <c r="C47" s="183" t="n"/>
      <c r="D47" s="183" t="n"/>
      <c r="E47" s="183" t="n"/>
      <c r="F47" s="183" t="n"/>
      <c r="G47" s="114" t="n"/>
      <c r="H47" s="103" t="n"/>
      <c r="I47" s="113" t="n"/>
      <c r="J47" s="113" t="n"/>
    </row>
    <row r="48" ht="13.5" customHeight="1" s="199">
      <c r="A48" s="103" t="n"/>
      <c r="B48" s="184" t="n"/>
      <c r="C48" s="185" t="n"/>
      <c r="D48" s="185" t="n"/>
      <c r="E48" s="185" t="n"/>
      <c r="F48" s="185" t="n"/>
      <c r="G48" s="103" t="n"/>
      <c r="H48" s="103" t="n"/>
      <c r="I48" s="113" t="n"/>
      <c r="J48" s="113" t="n"/>
    </row>
    <row r="49" ht="13.5" customHeight="1" s="199">
      <c r="A49" s="103" t="n"/>
      <c r="B49" s="184" t="n"/>
      <c r="C49" s="185" t="n"/>
      <c r="D49" s="185" t="n"/>
      <c r="E49" s="185" t="n"/>
      <c r="F49" s="185" t="n"/>
      <c r="G49" s="103" t="n"/>
      <c r="H49" s="103" t="n"/>
      <c r="I49" s="113" t="n"/>
      <c r="J49" s="113" t="n"/>
    </row>
    <row r="50" ht="4.5" customHeight="1" s="199">
      <c r="A50" s="103" t="n"/>
      <c r="B50" s="184" t="n"/>
      <c r="C50" s="185" t="n"/>
      <c r="D50" s="185" t="n"/>
      <c r="E50" s="185" t="n"/>
      <c r="F50" s="185" t="n"/>
      <c r="G50" s="103" t="n"/>
      <c r="H50" s="103" t="n"/>
      <c r="I50" s="113" t="n"/>
      <c r="J50" s="113" t="n"/>
    </row>
    <row r="51" ht="13.5" customHeight="1" s="199">
      <c r="A51" s="103" t="n"/>
      <c r="B51" s="184" t="n"/>
      <c r="C51" s="185" t="n"/>
      <c r="D51" s="185" t="n"/>
      <c r="E51" s="185" t="n"/>
      <c r="F51" s="185" t="n"/>
      <c r="G51" s="103" t="n"/>
      <c r="H51" s="103" t="n"/>
      <c r="I51" s="113" t="n"/>
      <c r="J51" s="113" t="n"/>
    </row>
    <row r="52" ht="15" customHeight="1" s="199">
      <c r="A52" s="103" t="n"/>
      <c r="B52" s="184" t="n"/>
      <c r="C52" s="185" t="n"/>
      <c r="D52" s="185" t="n"/>
      <c r="E52" s="185" t="n"/>
      <c r="F52" s="185" t="n"/>
      <c r="G52" s="103" t="n"/>
      <c r="H52" s="103" t="n"/>
      <c r="I52" s="113" t="n"/>
      <c r="J52" s="113" t="n"/>
    </row>
    <row r="53" ht="13.5" customHeight="1" s="199">
      <c r="A53" s="103" t="n"/>
      <c r="B53" s="184" t="n"/>
      <c r="C53" s="185" t="n"/>
      <c r="D53" s="185" t="n"/>
      <c r="E53" s="185" t="n"/>
      <c r="F53" s="185" t="n"/>
      <c r="G53" s="103" t="n"/>
      <c r="H53" s="103" t="n"/>
      <c r="I53" s="113" t="n"/>
      <c r="J53" s="113" t="n"/>
    </row>
    <row r="54" ht="13.5" customHeight="1" s="199">
      <c r="A54" s="103" t="n"/>
      <c r="B54" s="184" t="n"/>
      <c r="C54" s="185" t="n"/>
      <c r="D54" s="185" t="n"/>
      <c r="E54" s="185" t="n"/>
      <c r="F54" s="185" t="n"/>
      <c r="G54" s="103" t="n"/>
      <c r="H54" s="103" t="n"/>
      <c r="I54" s="113" t="n"/>
      <c r="J54" s="113" t="n"/>
    </row>
    <row r="55" ht="13.5" customHeight="1" s="199">
      <c r="A55" s="103" t="n"/>
      <c r="B55" s="184" t="n"/>
      <c r="C55" s="185" t="n"/>
      <c r="D55" s="185" t="n"/>
      <c r="E55" s="185" t="n"/>
      <c r="F55" s="185" t="n"/>
      <c r="G55" s="103" t="n"/>
      <c r="H55" s="103" t="n"/>
      <c r="I55" s="113" t="n"/>
      <c r="J55" s="113" t="n"/>
    </row>
    <row r="56" ht="13.5" customHeight="1" s="199">
      <c r="A56" s="103" t="n"/>
      <c r="B56" s="184" t="n"/>
      <c r="C56" s="185" t="n"/>
      <c r="D56" s="185" t="n"/>
      <c r="E56" s="185" t="n"/>
      <c r="F56" s="185" t="n"/>
      <c r="G56" s="103" t="n"/>
      <c r="H56" s="103" t="n"/>
      <c r="I56" s="113" t="n"/>
      <c r="J56" s="113" t="n"/>
    </row>
    <row r="57" ht="13.5" customHeight="1" s="199">
      <c r="A57" s="103" t="n"/>
      <c r="B57" s="184" t="n"/>
      <c r="C57" s="185" t="n"/>
      <c r="D57" s="185" t="n"/>
      <c r="E57" s="185" t="n"/>
      <c r="F57" s="185" t="n"/>
      <c r="G57" s="103" t="n"/>
      <c r="H57" s="103" t="n"/>
      <c r="I57" s="113" t="n"/>
      <c r="J57" s="113" t="n"/>
    </row>
    <row r="58" ht="13.5" customHeight="1" s="199">
      <c r="A58" s="103" t="n"/>
      <c r="B58" s="184" t="n"/>
      <c r="C58" s="185" t="n"/>
      <c r="D58" s="185" t="n"/>
      <c r="E58" s="185" t="n"/>
      <c r="F58" s="185" t="n"/>
      <c r="G58" s="103" t="n"/>
      <c r="H58" s="103" t="n"/>
      <c r="I58" s="113" t="n"/>
      <c r="J58" s="113" t="n"/>
    </row>
    <row r="59" ht="13.5" customHeight="1" s="199">
      <c r="A59" s="103" t="n"/>
      <c r="B59" s="184" t="n"/>
      <c r="C59" s="185" t="n"/>
      <c r="D59" s="185" t="n"/>
      <c r="E59" s="185" t="n"/>
      <c r="F59" s="185" t="n"/>
      <c r="G59" s="103" t="n"/>
      <c r="H59" s="103" t="n"/>
      <c r="I59" s="113" t="n"/>
      <c r="J59" s="113" t="n"/>
    </row>
    <row r="60" ht="13.5" customHeight="1" s="199">
      <c r="A60" s="103" t="n"/>
      <c r="B60" s="184" t="n"/>
      <c r="C60" s="185" t="n"/>
      <c r="D60" s="185" t="n"/>
      <c r="E60" s="185" t="n"/>
      <c r="F60" s="185" t="n"/>
      <c r="G60" s="103" t="n"/>
      <c r="H60" s="103" t="n"/>
      <c r="I60" s="113" t="n"/>
      <c r="J60" s="113" t="n"/>
    </row>
    <row r="61" ht="13.5" customHeight="1" s="199">
      <c r="A61" s="103" t="n"/>
      <c r="B61" s="184" t="n"/>
      <c r="C61" s="185" t="n"/>
      <c r="D61" s="185" t="n"/>
      <c r="E61" s="185" t="n"/>
      <c r="F61" s="185" t="n"/>
      <c r="G61" s="103" t="n"/>
      <c r="H61" s="103" t="n"/>
      <c r="I61" s="113" t="n"/>
      <c r="J61" s="113" t="n"/>
    </row>
    <row r="62" ht="15" customHeight="1" s="199">
      <c r="A62" s="103" t="n"/>
      <c r="B62" s="184" t="n"/>
      <c r="C62" s="185" t="n"/>
      <c r="D62" s="185" t="n"/>
      <c r="E62" s="185" t="n"/>
      <c r="F62" s="185" t="n"/>
      <c r="G62" s="103" t="n"/>
      <c r="H62" s="103" t="n"/>
      <c r="I62" s="113" t="n"/>
      <c r="J62" s="113" t="n"/>
    </row>
    <row r="63" ht="28.5" customHeight="1" s="199">
      <c r="A63" s="103" t="n"/>
      <c r="B63" s="184" t="n"/>
      <c r="C63" s="185" t="n"/>
      <c r="D63" s="185" t="n"/>
      <c r="E63" s="185" t="n"/>
      <c r="F63" s="185" t="n"/>
      <c r="G63" s="185" t="n"/>
      <c r="H63" s="103" t="n"/>
      <c r="I63" s="113" t="n"/>
      <c r="J63" s="113" t="n"/>
    </row>
    <row r="64" ht="18" customHeight="1" s="199">
      <c r="A64" s="103" t="n"/>
      <c r="B64" s="184" t="n"/>
      <c r="C64" s="103" t="n"/>
      <c r="D64" s="103" t="n"/>
      <c r="E64" s="103" t="n"/>
      <c r="F64" s="103" t="n"/>
      <c r="G64" s="103" t="n"/>
      <c r="H64" s="103" t="n"/>
      <c r="I64" s="113" t="n"/>
      <c r="J64" s="113" t="n"/>
    </row>
    <row r="65" ht="15" customHeight="1" s="199">
      <c r="A65" s="103" t="n"/>
      <c r="B65" s="184" t="n"/>
      <c r="C65" s="185" t="n"/>
      <c r="D65" s="185" t="n"/>
      <c r="E65" s="185" t="n"/>
      <c r="F65" s="185" t="n"/>
      <c r="G65" s="103" t="n"/>
      <c r="H65" s="103" t="n"/>
      <c r="I65" s="113" t="n"/>
      <c r="J65" s="113" t="n"/>
    </row>
    <row r="66" ht="14.25" customHeight="1" s="199">
      <c r="A66" s="103" t="n"/>
      <c r="B66" s="184" t="n"/>
      <c r="C66" s="185" t="n"/>
      <c r="D66" s="185" t="n"/>
      <c r="E66" s="185" t="n"/>
      <c r="F66" s="185" t="n"/>
      <c r="G66" s="103" t="n"/>
      <c r="H66" s="103" t="n"/>
      <c r="I66" s="113" t="n"/>
      <c r="J66" s="113" t="n"/>
    </row>
    <row r="67" ht="12.75" customHeight="1" s="199">
      <c r="A67" s="103" t="n"/>
      <c r="B67" s="184" t="n"/>
      <c r="C67" s="185" t="n"/>
      <c r="D67" s="185" t="n"/>
      <c r="E67" s="185" t="n"/>
      <c r="F67" s="185" t="n"/>
      <c r="G67" s="103" t="n"/>
      <c r="H67" s="103" t="n"/>
      <c r="I67" s="113" t="n"/>
      <c r="J67" s="113" t="n"/>
    </row>
    <row r="68" ht="15" customHeight="1" s="199">
      <c r="A68" s="103" t="n"/>
      <c r="B68" s="184" t="n"/>
      <c r="C68" s="185" t="n"/>
      <c r="D68" s="185" t="n"/>
      <c r="E68" s="185" t="n"/>
      <c r="F68" s="185" t="n"/>
      <c r="G68" s="103" t="n"/>
      <c r="H68" s="103" t="n"/>
      <c r="I68" s="113" t="n"/>
      <c r="J68" s="113" t="n"/>
    </row>
    <row r="69" ht="13.5" customHeight="1" s="199">
      <c r="A69" s="103" t="n"/>
      <c r="B69" s="184" t="n"/>
      <c r="C69" s="103" t="n"/>
      <c r="D69" s="103" t="n"/>
      <c r="E69" s="103" t="n"/>
      <c r="F69" s="103" t="n"/>
      <c r="G69" s="103" t="n"/>
      <c r="H69" s="103" t="n"/>
      <c r="I69" s="112" t="n"/>
      <c r="J69" s="112" t="n"/>
      <c r="K69" s="113" t="n"/>
      <c r="L69" s="113" t="n"/>
      <c r="M69" s="113" t="n"/>
    </row>
    <row r="70" ht="13.5" customHeight="1" s="199">
      <c r="A70" s="103" t="n"/>
      <c r="B70" s="103" t="n"/>
      <c r="C70" s="103" t="n"/>
      <c r="D70" s="103" t="n"/>
      <c r="E70" s="103" t="n"/>
      <c r="F70" s="103" t="n"/>
      <c r="G70" s="103" t="n"/>
      <c r="H70" s="103" t="n"/>
      <c r="I70" s="186" t="n"/>
      <c r="J70" s="186" t="n"/>
      <c r="K70" s="113" t="n"/>
      <c r="L70" s="113" t="n"/>
      <c r="M70" s="113" t="n"/>
    </row>
    <row r="71" ht="13.5" customHeight="1" s="199">
      <c r="A71" s="103" t="n"/>
      <c r="B71" s="184" t="n"/>
      <c r="C71" s="103" t="n"/>
      <c r="D71" s="103" t="n"/>
      <c r="E71" s="103" t="n"/>
      <c r="F71" s="103" t="n"/>
      <c r="G71" s="103" t="n"/>
      <c r="H71" s="103" t="n"/>
      <c r="I71" s="112" t="n"/>
      <c r="J71" s="112" t="n"/>
      <c r="K71" s="113" t="n"/>
      <c r="L71" s="113" t="n"/>
      <c r="M71" s="113" t="n"/>
    </row>
    <row r="72" ht="13.5" customHeight="1" s="199">
      <c r="A72" s="103" t="n"/>
      <c r="B72" s="184" t="n"/>
      <c r="C72" s="103" t="n"/>
      <c r="D72" s="103" t="n"/>
      <c r="E72" s="103" t="n"/>
      <c r="F72" s="103" t="n"/>
      <c r="G72" s="103" t="n"/>
      <c r="H72" s="103" t="n"/>
      <c r="I72" s="112" t="n"/>
      <c r="J72" s="112" t="n"/>
      <c r="K72" s="113" t="n"/>
      <c r="L72" s="113" t="n"/>
      <c r="M72" s="113" t="n"/>
    </row>
    <row r="73" ht="13.5" customHeight="1" s="199">
      <c r="A73" s="103" t="n"/>
      <c r="B73" s="184" t="n"/>
      <c r="C73" s="103" t="n"/>
      <c r="D73" s="103" t="n"/>
      <c r="E73" s="103" t="n"/>
      <c r="F73" s="103" t="n"/>
      <c r="G73" s="103" t="n"/>
      <c r="H73" s="103" t="n"/>
      <c r="I73" s="112" t="n"/>
      <c r="J73" s="112" t="n"/>
      <c r="K73" s="113" t="n"/>
      <c r="L73" s="113" t="n"/>
      <c r="M73" s="113" t="n"/>
    </row>
    <row r="74" ht="13.5" customHeight="1" s="199">
      <c r="A74" s="103" t="n"/>
      <c r="B74" s="184" t="n"/>
      <c r="C74" s="103" t="n"/>
      <c r="D74" s="103" t="n"/>
      <c r="E74" s="103" t="n"/>
      <c r="F74" s="103" t="n"/>
      <c r="G74" s="103" t="n"/>
      <c r="H74" s="103" t="n"/>
      <c r="I74" s="112" t="n"/>
      <c r="J74" s="112" t="n"/>
      <c r="K74" s="113" t="n"/>
      <c r="L74" s="113" t="n"/>
      <c r="M74" s="113" t="n"/>
    </row>
    <row r="75" ht="13.5" customHeight="1" s="199">
      <c r="A75" s="103" t="n"/>
      <c r="B75" s="184" t="n"/>
      <c r="C75" s="103" t="n"/>
      <c r="D75" s="103" t="n"/>
      <c r="E75" s="103" t="n"/>
      <c r="F75" s="103" t="n"/>
      <c r="G75" s="103" t="n"/>
      <c r="H75" s="103" t="n"/>
      <c r="I75" s="112" t="n"/>
      <c r="J75" s="112" t="n"/>
      <c r="K75" s="113" t="n"/>
      <c r="L75" s="113" t="n"/>
      <c r="M75" s="113" t="n"/>
    </row>
    <row r="76" ht="13.5" customHeight="1" s="199">
      <c r="A76" s="103" t="n"/>
      <c r="B76" s="184" t="n"/>
      <c r="C76" s="103" t="n"/>
      <c r="D76" s="103" t="n"/>
      <c r="E76" s="103" t="n"/>
      <c r="F76" s="103" t="n"/>
      <c r="G76" s="103" t="n"/>
      <c r="H76" s="103" t="n"/>
      <c r="I76" s="112" t="n"/>
      <c r="J76" s="112" t="n"/>
      <c r="K76" s="113" t="n"/>
      <c r="L76" s="113" t="n"/>
      <c r="M76" s="113" t="n"/>
    </row>
    <row r="77" ht="13.5" customHeight="1" s="199">
      <c r="A77" s="103" t="n"/>
      <c r="B77" s="184" t="n"/>
      <c r="C77" s="103" t="n"/>
      <c r="D77" s="103" t="n"/>
      <c r="E77" s="103" t="n"/>
      <c r="F77" s="103" t="n"/>
      <c r="G77" s="103" t="n"/>
      <c r="H77" s="103" t="n"/>
      <c r="I77" s="112" t="n"/>
      <c r="J77" s="112" t="n"/>
      <c r="K77" s="113" t="n"/>
      <c r="L77" s="113" t="n"/>
      <c r="M77" s="113" t="n"/>
    </row>
    <row r="78" ht="13.5" customHeight="1" s="199">
      <c r="A78" s="103" t="n"/>
      <c r="B78" s="184" t="n"/>
      <c r="C78" s="103" t="n"/>
      <c r="D78" s="103" t="n"/>
      <c r="E78" s="103" t="n"/>
      <c r="F78" s="103" t="n"/>
      <c r="G78" s="103" t="n"/>
      <c r="H78" s="103" t="n"/>
      <c r="I78" s="112" t="n"/>
      <c r="J78" s="112" t="n"/>
      <c r="K78" s="113" t="n"/>
      <c r="L78" s="113" t="n"/>
      <c r="M78" s="113" t="n"/>
    </row>
    <row r="79" ht="13.5" customHeight="1" s="199">
      <c r="A79" s="103" t="n"/>
      <c r="B79" s="184" t="n"/>
      <c r="C79" s="103" t="n"/>
      <c r="D79" s="103" t="n"/>
      <c r="E79" s="103" t="n"/>
      <c r="F79" s="103" t="n"/>
      <c r="G79" s="103" t="n"/>
      <c r="H79" s="103" t="n"/>
      <c r="I79" s="112" t="n"/>
      <c r="J79" s="112" t="n"/>
      <c r="K79" s="113" t="n"/>
      <c r="L79" s="113" t="n"/>
      <c r="M79" s="113" t="n"/>
    </row>
    <row r="80" ht="13.5" customHeight="1" s="199">
      <c r="A80" s="103" t="n"/>
      <c r="B80" s="184" t="n"/>
      <c r="C80" s="103" t="n"/>
      <c r="D80" s="103" t="n"/>
      <c r="E80" s="103" t="n"/>
      <c r="F80" s="103" t="n"/>
      <c r="G80" s="103" t="n"/>
      <c r="H80" s="103" t="n"/>
      <c r="I80" s="112" t="n"/>
      <c r="J80" s="112" t="n"/>
      <c r="K80" s="113" t="n"/>
      <c r="L80" s="113" t="n"/>
      <c r="M80" s="113" t="n"/>
    </row>
    <row r="81" ht="13.5" customHeight="1" s="199">
      <c r="A81" s="103" t="n"/>
      <c r="B81" s="184" t="n"/>
      <c r="C81" s="103" t="n"/>
      <c r="D81" s="103" t="n"/>
      <c r="E81" s="103" t="n"/>
      <c r="F81" s="103" t="n"/>
      <c r="G81" s="103" t="n"/>
      <c r="H81" s="103" t="n"/>
      <c r="I81" s="112" t="n"/>
      <c r="J81" s="112" t="n"/>
      <c r="K81" s="113" t="n"/>
      <c r="L81" s="113" t="n"/>
      <c r="M81" s="113" t="n"/>
    </row>
    <row r="82" ht="13.5" customHeight="1" s="199">
      <c r="A82" s="114" t="n"/>
      <c r="B82" s="187" t="n"/>
      <c r="C82" s="112" t="n"/>
      <c r="D82" s="112" t="n"/>
      <c r="E82" s="112" t="n"/>
      <c r="F82" s="112" t="n"/>
      <c r="G82" s="112" t="n"/>
      <c r="H82" s="112" t="n"/>
      <c r="I82" s="112" t="n"/>
      <c r="J82" s="112" t="n"/>
      <c r="K82" s="113" t="n"/>
      <c r="L82" s="113" t="n"/>
      <c r="M82" s="113" t="n"/>
    </row>
    <row r="83" ht="13.5" customHeight="1" s="199">
      <c r="A83" s="114" t="n"/>
      <c r="B83" s="187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3" t="n"/>
      <c r="L83" s="113" t="n"/>
      <c r="M83" s="113" t="n"/>
    </row>
    <row r="84" ht="13.5" customHeight="1" s="199">
      <c r="A84" s="114" t="n"/>
      <c r="B84" s="187" t="n"/>
      <c r="C84" s="112" t="n"/>
      <c r="D84" s="112" t="n"/>
      <c r="E84" s="112" t="n"/>
      <c r="F84" s="112" t="n"/>
      <c r="G84" s="112" t="n"/>
      <c r="H84" s="112" t="n"/>
      <c r="I84" s="112" t="n"/>
      <c r="J84" s="112" t="n"/>
      <c r="K84" s="113" t="n"/>
      <c r="L84" s="113" t="n"/>
      <c r="M84" s="113" t="n"/>
    </row>
    <row r="85" ht="13.5" customHeight="1" s="199">
      <c r="A85" s="114" t="n"/>
      <c r="B85" s="187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3" t="n"/>
      <c r="L85" s="113" t="n"/>
      <c r="M85" s="113" t="n"/>
    </row>
    <row r="86" ht="13.5" customHeight="1" s="199">
      <c r="A86" s="114" t="n"/>
      <c r="B86" s="187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3" t="n"/>
      <c r="L86" s="113" t="n"/>
      <c r="M86" s="113" t="n"/>
    </row>
    <row r="87" ht="13.5" customHeight="1" s="199">
      <c r="A87" s="114" t="n"/>
      <c r="B87" s="187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3" t="n"/>
      <c r="L87" s="113" t="n"/>
      <c r="M87" s="113" t="n"/>
    </row>
    <row r="88" ht="13.5" customHeight="1" s="199">
      <c r="A88" s="114" t="n"/>
      <c r="B88" s="187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3" t="n"/>
      <c r="L88" s="113" t="n"/>
      <c r="M88" s="113" t="n"/>
    </row>
    <row r="89" ht="13.5" customHeight="1" s="199">
      <c r="A89" s="114" t="n"/>
      <c r="B89" s="187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3" t="n"/>
      <c r="L89" s="113" t="n"/>
      <c r="M89" s="113" t="n"/>
    </row>
    <row r="90" ht="13.5" customHeight="1" s="199">
      <c r="A90" s="114" t="n"/>
      <c r="B90" s="187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3" t="n"/>
      <c r="L90" s="113" t="n"/>
      <c r="M90" s="113" t="n"/>
    </row>
    <row r="91" ht="13.5" customHeight="1" s="199">
      <c r="A91" s="114" t="n"/>
      <c r="B91" s="187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3" t="n"/>
      <c r="L91" s="113" t="n"/>
      <c r="M91" s="113" t="n"/>
    </row>
    <row r="92" ht="13.5" customHeight="1" s="199">
      <c r="A92" s="114" t="n"/>
      <c r="B92" s="187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3" t="n"/>
      <c r="L92" s="113" t="n"/>
      <c r="M92" s="113" t="n"/>
    </row>
    <row r="93" ht="13.5" customHeight="1" s="199">
      <c r="A93" s="114" t="n"/>
      <c r="B93" s="187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3" t="n"/>
      <c r="L93" s="113" t="n"/>
      <c r="M93" s="113" t="n"/>
    </row>
    <row r="94" ht="13.5" customHeight="1" s="199">
      <c r="A94" s="114" t="n"/>
      <c r="B94" s="187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3" t="n"/>
      <c r="L94" s="113" t="n"/>
      <c r="M94" s="113" t="n"/>
    </row>
    <row r="95" ht="13.5" customHeight="1" s="199">
      <c r="A95" s="114" t="n"/>
      <c r="B95" s="187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3" t="n"/>
      <c r="L95" s="113" t="n"/>
      <c r="M95" s="113" t="n"/>
    </row>
    <row r="96" ht="13.5" customHeight="1" s="199">
      <c r="A96" s="114" t="n"/>
      <c r="B96" s="187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3" t="n"/>
      <c r="L96" s="113" t="n"/>
      <c r="M96" s="113" t="n"/>
    </row>
    <row r="97" ht="13.5" customHeight="1" s="199">
      <c r="A97" s="114" t="n"/>
      <c r="B97" s="187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3" t="n"/>
      <c r="L97" s="113" t="n"/>
      <c r="M97" s="113" t="n"/>
    </row>
    <row r="98" ht="13.5" customHeight="1" s="199">
      <c r="A98" s="114" t="n"/>
      <c r="B98" s="187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3" t="n"/>
      <c r="L98" s="113" t="n"/>
      <c r="M98" s="113" t="n"/>
    </row>
    <row r="99" ht="13.5" customHeight="1" s="199">
      <c r="A99" s="114" t="n"/>
      <c r="B99" s="187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3" t="n"/>
      <c r="L99" s="113" t="n"/>
      <c r="M99" s="113" t="n"/>
    </row>
    <row r="100" ht="13.5" customHeight="1" s="199">
      <c r="A100" s="114" t="n"/>
      <c r="B100" s="187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3" t="n"/>
      <c r="L100" s="113" t="n"/>
      <c r="M100" s="113" t="n"/>
    </row>
    <row r="101" ht="13.5" customHeight="1" s="199">
      <c r="A101" s="114" t="n"/>
      <c r="B101" s="187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3" t="n"/>
      <c r="L101" s="113" t="n"/>
      <c r="M101" s="113" t="n"/>
    </row>
    <row r="102" ht="13.5" customHeight="1" s="199">
      <c r="A102" s="114" t="n"/>
      <c r="B102" s="187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3" t="n"/>
      <c r="L102" s="113" t="n"/>
      <c r="M102" s="113" t="n"/>
    </row>
    <row r="103" ht="13.5" customHeight="1" s="199">
      <c r="A103" s="114" t="n"/>
      <c r="B103" s="187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3" t="n"/>
      <c r="L103" s="113" t="n"/>
      <c r="M103" s="113" t="n"/>
    </row>
    <row r="104" ht="13.5" customHeight="1" s="199">
      <c r="A104" s="114" t="n"/>
      <c r="B104" s="187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3" t="n"/>
      <c r="L104" s="113" t="n"/>
      <c r="M104" s="113" t="n"/>
    </row>
    <row r="105" ht="13.5" customHeight="1" s="199">
      <c r="A105" s="114" t="n"/>
      <c r="B105" s="187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3" t="n"/>
      <c r="L105" s="113" t="n"/>
      <c r="M105" s="113" t="n"/>
    </row>
    <row r="106" ht="13.5" customHeight="1" s="199">
      <c r="A106" s="114" t="n"/>
      <c r="B106" s="187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3" t="n"/>
      <c r="L106" s="113" t="n"/>
      <c r="M106" s="113" t="n"/>
    </row>
    <row r="107" ht="13.5" customHeight="1" s="199">
      <c r="A107" s="114" t="n"/>
      <c r="B107" s="187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3" t="n"/>
      <c r="L107" s="113" t="n"/>
      <c r="M107" s="113" t="n"/>
    </row>
    <row r="108" ht="13.5" customHeight="1" s="199">
      <c r="A108" s="114" t="n"/>
      <c r="B108" s="187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3" t="n"/>
      <c r="L108" s="113" t="n"/>
      <c r="M108" s="113" t="n"/>
    </row>
    <row r="109" ht="13.5" customHeight="1" s="199">
      <c r="A109" s="114" t="n"/>
      <c r="B109" s="187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3" t="n"/>
      <c r="L109" s="113" t="n"/>
      <c r="M109" s="113" t="n"/>
    </row>
    <row r="110" ht="13.5" customHeight="1" s="199">
      <c r="A110" s="114" t="n"/>
      <c r="B110" s="187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3" t="n"/>
      <c r="L110" s="113" t="n"/>
      <c r="M110" s="113" t="n"/>
    </row>
    <row r="111" ht="13.5" customHeight="1" s="199">
      <c r="A111" s="114" t="n"/>
      <c r="B111" s="187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3" t="n"/>
      <c r="L111" s="113" t="n"/>
      <c r="M111" s="113" t="n"/>
    </row>
    <row r="112" ht="13.5" customHeight="1" s="199">
      <c r="A112" s="114" t="n"/>
      <c r="B112" s="187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3" t="n"/>
      <c r="L112" s="113" t="n"/>
      <c r="M112" s="113" t="n"/>
    </row>
    <row r="113" ht="13.5" customHeight="1" s="199">
      <c r="A113" s="114" t="n"/>
      <c r="B113" s="187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3" t="n"/>
      <c r="L113" s="113" t="n"/>
      <c r="M113" s="113" t="n"/>
    </row>
    <row r="114" ht="13.5" customHeight="1" s="199">
      <c r="A114" s="114" t="n"/>
      <c r="B114" s="187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3" t="n"/>
      <c r="L114" s="113" t="n"/>
      <c r="M114" s="113" t="n"/>
    </row>
    <row r="115" ht="13.5" customHeight="1" s="199">
      <c r="A115" s="114" t="n"/>
      <c r="B115" s="187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3" t="n"/>
      <c r="L115" s="113" t="n"/>
      <c r="M115" s="113" t="n"/>
    </row>
    <row r="116" ht="13.5" customHeight="1" s="199">
      <c r="A116" s="114" t="n"/>
      <c r="B116" s="187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3" t="n"/>
      <c r="L116" s="113" t="n"/>
      <c r="M116" s="113" t="n"/>
    </row>
    <row r="117" ht="13.5" customHeight="1" s="199">
      <c r="A117" s="114" t="n"/>
      <c r="B117" s="187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3" t="n"/>
      <c r="L117" s="113" t="n"/>
      <c r="M117" s="113" t="n"/>
    </row>
    <row r="118" ht="13.5" customHeight="1" s="199">
      <c r="A118" s="114" t="n"/>
      <c r="B118" s="187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3" t="n"/>
      <c r="L118" s="113" t="n"/>
      <c r="M118" s="113" t="n"/>
    </row>
    <row r="119" ht="13.5" customHeight="1" s="199">
      <c r="A119" s="114" t="n"/>
      <c r="B119" s="187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3" t="n"/>
      <c r="L119" s="113" t="n"/>
      <c r="M119" s="113" t="n"/>
    </row>
    <row r="120" ht="13.5" customHeight="1" s="199">
      <c r="A120" s="114" t="n"/>
      <c r="B120" s="187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3" t="n"/>
      <c r="L120" s="113" t="n"/>
      <c r="M120" s="113" t="n"/>
    </row>
    <row r="121" ht="13.5" customHeight="1" s="199">
      <c r="A121" s="114" t="n"/>
      <c r="B121" s="187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3" t="n"/>
      <c r="L121" s="113" t="n"/>
      <c r="M121" s="113" t="n"/>
    </row>
    <row r="122" ht="13.5" customHeight="1" s="199">
      <c r="A122" s="114" t="n"/>
      <c r="B122" s="187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3" t="n"/>
      <c r="L122" s="113" t="n"/>
      <c r="M122" s="113" t="n"/>
    </row>
    <row r="123" ht="13.5" customHeight="1" s="199">
      <c r="A123" s="114" t="n"/>
      <c r="B123" s="187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3" t="n"/>
      <c r="L123" s="113" t="n"/>
      <c r="M123" s="113" t="n"/>
    </row>
    <row r="124" ht="13.5" customHeight="1" s="199">
      <c r="A124" s="114" t="n"/>
      <c r="B124" s="187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3" t="n"/>
      <c r="L124" s="113" t="n"/>
      <c r="M124" s="113" t="n"/>
    </row>
    <row r="125" ht="13.5" customHeight="1" s="199">
      <c r="A125" s="114" t="n"/>
      <c r="B125" s="187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3" t="n"/>
      <c r="L125" s="113" t="n"/>
      <c r="M125" s="113" t="n"/>
    </row>
    <row r="126" ht="13.5" customHeight="1" s="199">
      <c r="A126" s="114" t="n"/>
      <c r="B126" s="187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3" t="n"/>
      <c r="L126" s="113" t="n"/>
      <c r="M126" s="113" t="n"/>
    </row>
    <row r="127" ht="13.5" customHeight="1" s="199">
      <c r="A127" s="114" t="n"/>
      <c r="B127" s="187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3" t="n"/>
      <c r="L127" s="113" t="n"/>
      <c r="M127" s="113" t="n"/>
    </row>
    <row r="128" ht="13.5" customHeight="1" s="199">
      <c r="A128" s="114" t="n"/>
      <c r="B128" s="187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3" t="n"/>
      <c r="L128" s="113" t="n"/>
      <c r="M128" s="113" t="n"/>
    </row>
    <row r="129" ht="13.5" customHeight="1" s="199">
      <c r="A129" s="114" t="n"/>
      <c r="B129" s="187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3" t="n"/>
      <c r="L129" s="113" t="n"/>
      <c r="M129" s="113" t="n"/>
    </row>
    <row r="130" ht="13.5" customHeight="1" s="199">
      <c r="A130" s="114" t="n"/>
      <c r="B130" s="187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3" t="n"/>
      <c r="L130" s="113" t="n"/>
      <c r="M130" s="113" t="n"/>
    </row>
    <row r="131" ht="13.5" customHeight="1" s="199">
      <c r="A131" s="114" t="n"/>
      <c r="B131" s="187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3" t="n"/>
      <c r="L131" s="113" t="n"/>
      <c r="M131" s="113" t="n"/>
    </row>
    <row r="132" ht="13.5" customHeight="1" s="199">
      <c r="A132" s="114" t="n"/>
      <c r="B132" s="187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3" t="n"/>
      <c r="L132" s="113" t="n"/>
      <c r="M132" s="113" t="n"/>
    </row>
    <row r="133" ht="13.5" customHeight="1" s="199">
      <c r="A133" s="114" t="n"/>
      <c r="B133" s="187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3" t="n"/>
      <c r="L133" s="113" t="n"/>
      <c r="M133" s="113" t="n"/>
    </row>
    <row r="134" ht="13.5" customHeight="1" s="199">
      <c r="A134" s="114" t="n"/>
      <c r="B134" s="187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3" t="n"/>
      <c r="L134" s="113" t="n"/>
      <c r="M134" s="113" t="n"/>
    </row>
    <row r="135" ht="13.5" customHeight="1" s="199">
      <c r="A135" s="114" t="n"/>
      <c r="B135" s="187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3" t="n"/>
      <c r="L135" s="113" t="n"/>
      <c r="M135" s="113" t="n"/>
    </row>
    <row r="136" ht="13.5" customHeight="1" s="199">
      <c r="A136" s="114" t="n"/>
      <c r="B136" s="187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3" t="n"/>
      <c r="L136" s="113" t="n"/>
      <c r="M136" s="113" t="n"/>
    </row>
    <row r="137" ht="13.5" customHeight="1" s="199">
      <c r="A137" s="114" t="n"/>
      <c r="B137" s="187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3" t="n"/>
      <c r="L137" s="113" t="n"/>
      <c r="M137" s="113" t="n"/>
    </row>
    <row r="138" ht="13.5" customHeight="1" s="199">
      <c r="A138" s="114" t="n"/>
      <c r="B138" s="187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3" t="n"/>
      <c r="L138" s="113" t="n"/>
      <c r="M138" s="113" t="n"/>
    </row>
    <row r="139" ht="13.5" customHeight="1" s="199">
      <c r="A139" s="114" t="n"/>
      <c r="B139" s="187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3" t="n"/>
      <c r="L139" s="113" t="n"/>
      <c r="M139" s="113" t="n"/>
    </row>
    <row r="140" ht="13.5" customHeight="1" s="199">
      <c r="A140" s="114" t="n"/>
      <c r="B140" s="187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3" t="n"/>
      <c r="L140" s="113" t="n"/>
      <c r="M140" s="113" t="n"/>
    </row>
    <row r="141" ht="13.5" customHeight="1" s="199">
      <c r="A141" s="114" t="n"/>
      <c r="B141" s="187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3" t="n"/>
      <c r="L141" s="113" t="n"/>
      <c r="M141" s="113" t="n"/>
    </row>
    <row r="142" ht="13.5" customHeight="1" s="199">
      <c r="A142" s="114" t="n"/>
      <c r="B142" s="187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3" t="n"/>
      <c r="L142" s="113" t="n"/>
      <c r="M142" s="113" t="n"/>
    </row>
    <row r="143" ht="13.5" customHeight="1" s="199">
      <c r="A143" s="114" t="n"/>
      <c r="B143" s="187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3" t="n"/>
      <c r="L143" s="113" t="n"/>
      <c r="M143" s="113" t="n"/>
    </row>
    <row r="144" ht="13.5" customHeight="1" s="199">
      <c r="A144" s="114" t="n"/>
      <c r="B144" s="187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3" t="n"/>
      <c r="L144" s="113" t="n"/>
      <c r="M144" s="113" t="n"/>
    </row>
    <row r="145" ht="13.5" customHeight="1" s="199">
      <c r="A145" s="114" t="n"/>
      <c r="B145" s="187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3" t="n"/>
      <c r="L145" s="113" t="n"/>
      <c r="M145" s="113" t="n"/>
    </row>
    <row r="146" ht="13.5" customHeight="1" s="199">
      <c r="A146" s="114" t="n"/>
      <c r="B146" s="187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3" t="n"/>
      <c r="L146" s="113" t="n"/>
      <c r="M146" s="113" t="n"/>
    </row>
    <row r="147" ht="13.5" customHeight="1" s="199">
      <c r="A147" s="114" t="n"/>
      <c r="B147" s="187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3" t="n"/>
      <c r="L147" s="113" t="n"/>
      <c r="M147" s="113" t="n"/>
    </row>
    <row r="148" ht="13.5" customHeight="1" s="199">
      <c r="A148" s="114" t="n"/>
      <c r="B148" s="187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3" t="n"/>
      <c r="L148" s="113" t="n"/>
      <c r="M148" s="113" t="n"/>
    </row>
    <row r="149" ht="13.5" customHeight="1" s="199">
      <c r="A149" s="114" t="n"/>
      <c r="B149" s="187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3" t="n"/>
      <c r="L149" s="113" t="n"/>
      <c r="M149" s="113" t="n"/>
    </row>
    <row r="150" ht="13.5" customHeight="1" s="199">
      <c r="A150" s="114" t="n"/>
      <c r="B150" s="187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3" t="n"/>
      <c r="L150" s="113" t="n"/>
      <c r="M150" s="113" t="n"/>
    </row>
    <row r="151" ht="13.5" customHeight="1" s="199">
      <c r="A151" s="114" t="n"/>
      <c r="B151" s="187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3" t="n"/>
      <c r="L151" s="113" t="n"/>
      <c r="M151" s="113" t="n"/>
    </row>
    <row r="152" ht="13.5" customHeight="1" s="199">
      <c r="A152" s="114" t="n"/>
      <c r="B152" s="187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3" t="n"/>
      <c r="L152" s="113" t="n"/>
      <c r="M152" s="113" t="n"/>
    </row>
    <row r="153" ht="13.5" customHeight="1" s="199">
      <c r="A153" s="114" t="n"/>
      <c r="B153" s="187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3" t="n"/>
      <c r="L153" s="113" t="n"/>
      <c r="M153" s="113" t="n"/>
    </row>
    <row r="154" ht="13.5" customHeight="1" s="199">
      <c r="A154" s="114" t="n"/>
      <c r="B154" s="187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3" t="n"/>
      <c r="L154" s="113" t="n"/>
      <c r="M154" s="113" t="n"/>
    </row>
    <row r="155" ht="13.5" customHeight="1" s="199">
      <c r="A155" s="114" t="n"/>
      <c r="B155" s="187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3" t="n"/>
      <c r="L155" s="113" t="n"/>
      <c r="M155" s="113" t="n"/>
    </row>
    <row r="156" ht="13.5" customHeight="1" s="199">
      <c r="A156" s="114" t="n"/>
      <c r="B156" s="187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3" t="n"/>
      <c r="L156" s="113" t="n"/>
      <c r="M156" s="113" t="n"/>
    </row>
    <row r="157" ht="13.5" customHeight="1" s="199">
      <c r="A157" s="114" t="n"/>
      <c r="B157" s="187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3" t="n"/>
      <c r="L157" s="113" t="n"/>
      <c r="M157" s="113" t="n"/>
    </row>
    <row r="158" ht="13.5" customHeight="1" s="199">
      <c r="A158" s="114" t="n"/>
      <c r="B158" s="187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3" t="n"/>
      <c r="L158" s="113" t="n"/>
      <c r="M158" s="113" t="n"/>
    </row>
    <row r="159" ht="13.5" customHeight="1" s="199">
      <c r="A159" s="114" t="n"/>
      <c r="B159" s="187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3" t="n"/>
      <c r="L159" s="113" t="n"/>
      <c r="M159" s="113" t="n"/>
    </row>
    <row r="160" ht="13.5" customHeight="1" s="199">
      <c r="A160" s="114" t="n"/>
      <c r="B160" s="187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3" t="n"/>
      <c r="L160" s="113" t="n"/>
      <c r="M160" s="113" t="n"/>
    </row>
    <row r="161" ht="13.5" customHeight="1" s="199">
      <c r="A161" s="114" t="n"/>
      <c r="B161" s="187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3" t="n"/>
      <c r="L161" s="113" t="n"/>
      <c r="M161" s="113" t="n"/>
    </row>
    <row r="162" ht="13.5" customHeight="1" s="199">
      <c r="A162" s="114" t="n"/>
      <c r="B162" s="187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3" t="n"/>
      <c r="L162" s="113" t="n"/>
      <c r="M162" s="113" t="n"/>
    </row>
    <row r="163" ht="13.5" customHeight="1" s="199">
      <c r="A163" s="114" t="n"/>
      <c r="B163" s="187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3" t="n"/>
      <c r="L163" s="113" t="n"/>
      <c r="M163" s="113" t="n"/>
    </row>
    <row r="164" ht="13.5" customHeight="1" s="199">
      <c r="A164" s="114" t="n"/>
      <c r="B164" s="187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3" t="n"/>
      <c r="L164" s="113" t="n"/>
      <c r="M164" s="113" t="n"/>
    </row>
    <row r="165" ht="13.5" customHeight="1" s="199">
      <c r="A165" s="114" t="n"/>
      <c r="B165" s="187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3" t="n"/>
      <c r="L165" s="113" t="n"/>
      <c r="M165" s="113" t="n"/>
    </row>
    <row r="166" ht="13.5" customHeight="1" s="199">
      <c r="A166" s="114" t="n"/>
      <c r="B166" s="187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3" t="n"/>
      <c r="L166" s="113" t="n"/>
      <c r="M166" s="113" t="n"/>
    </row>
    <row r="167" ht="13.5" customHeight="1" s="199">
      <c r="A167" s="114" t="n"/>
      <c r="B167" s="187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3" t="n"/>
      <c r="L167" s="113" t="n"/>
      <c r="M167" s="113" t="n"/>
    </row>
    <row r="168" ht="13.5" customHeight="1" s="199">
      <c r="A168" s="114" t="n"/>
      <c r="B168" s="187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3" t="n"/>
      <c r="L168" s="113" t="n"/>
      <c r="M168" s="113" t="n"/>
    </row>
    <row r="169" ht="13.5" customHeight="1" s="199">
      <c r="A169" s="114" t="n"/>
      <c r="B169" s="187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3" t="n"/>
      <c r="L169" s="113" t="n"/>
      <c r="M169" s="113" t="n"/>
    </row>
    <row r="170" ht="13.5" customHeight="1" s="199">
      <c r="A170" s="114" t="n"/>
      <c r="B170" s="187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3" t="n"/>
      <c r="L170" s="113" t="n"/>
      <c r="M170" s="113" t="n"/>
    </row>
    <row r="171" ht="13.5" customHeight="1" s="199">
      <c r="A171" s="114" t="n"/>
      <c r="B171" s="187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3" t="n"/>
      <c r="L171" s="113" t="n"/>
      <c r="M171" s="113" t="n"/>
    </row>
    <row r="172" ht="13.5" customHeight="1" s="199">
      <c r="A172" s="114" t="n"/>
      <c r="B172" s="187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3" t="n"/>
      <c r="L172" s="113" t="n"/>
      <c r="M172" s="113" t="n"/>
    </row>
    <row r="173" ht="13.5" customHeight="1" s="199">
      <c r="A173" s="114" t="n"/>
      <c r="B173" s="187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3" t="n"/>
      <c r="L173" s="113" t="n"/>
      <c r="M173" s="113" t="n"/>
    </row>
    <row r="174" ht="13.5" customHeight="1" s="199">
      <c r="A174" s="114" t="n"/>
      <c r="B174" s="187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3" t="n"/>
      <c r="L174" s="113" t="n"/>
      <c r="M174" s="113" t="n"/>
    </row>
    <row r="175" ht="13.5" customHeight="1" s="199">
      <c r="A175" s="114" t="n"/>
      <c r="B175" s="187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3" t="n"/>
      <c r="L175" s="113" t="n"/>
      <c r="M175" s="113" t="n"/>
    </row>
    <row r="176" ht="13.5" customHeight="1" s="199">
      <c r="A176" s="114" t="n"/>
      <c r="B176" s="187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3" t="n"/>
      <c r="L176" s="113" t="n"/>
      <c r="M176" s="113" t="n"/>
    </row>
    <row r="177" ht="13.5" customHeight="1" s="199">
      <c r="A177" s="114" t="n"/>
      <c r="B177" s="187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3" t="n"/>
      <c r="L177" s="113" t="n"/>
      <c r="M177" s="113" t="n"/>
    </row>
    <row r="178" ht="13.5" customHeight="1" s="199">
      <c r="A178" s="114" t="n"/>
      <c r="B178" s="187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3" t="n"/>
      <c r="L178" s="113" t="n"/>
      <c r="M178" s="113" t="n"/>
    </row>
    <row r="179" ht="13.5" customHeight="1" s="199">
      <c r="A179" s="114" t="n"/>
      <c r="B179" s="187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3" t="n"/>
      <c r="L179" s="113" t="n"/>
      <c r="M179" s="113" t="n"/>
    </row>
    <row r="180" ht="13.5" customHeight="1" s="199">
      <c r="A180" s="114" t="n"/>
      <c r="B180" s="187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3" t="n"/>
      <c r="L180" s="113" t="n"/>
      <c r="M180" s="113" t="n"/>
    </row>
    <row r="181" ht="13.5" customHeight="1" s="199">
      <c r="A181" s="114" t="n"/>
      <c r="B181" s="187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3" t="n"/>
      <c r="L181" s="113" t="n"/>
      <c r="M181" s="113" t="n"/>
    </row>
    <row r="182" ht="13.5" customHeight="1" s="199">
      <c r="A182" s="114" t="n"/>
      <c r="B182" s="187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3" t="n"/>
      <c r="L182" s="113" t="n"/>
      <c r="M182" s="113" t="n"/>
    </row>
    <row r="183" ht="13.5" customHeight="1" s="199">
      <c r="A183" s="114" t="n"/>
      <c r="B183" s="187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3" t="n"/>
      <c r="L183" s="113" t="n"/>
      <c r="M183" s="113" t="n"/>
    </row>
    <row r="184" ht="13.5" customHeight="1" s="199">
      <c r="A184" s="114" t="n"/>
      <c r="B184" s="187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3" t="n"/>
      <c r="L184" s="113" t="n"/>
      <c r="M184" s="113" t="n"/>
    </row>
    <row r="185" ht="13.5" customHeight="1" s="199">
      <c r="A185" s="114" t="n"/>
      <c r="B185" s="187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3" t="n"/>
      <c r="L185" s="113" t="n"/>
      <c r="M185" s="113" t="n"/>
    </row>
    <row r="186" ht="13.5" customHeight="1" s="199">
      <c r="A186" s="114" t="n"/>
      <c r="B186" s="187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3" t="n"/>
      <c r="L186" s="113" t="n"/>
      <c r="M186" s="113" t="n"/>
    </row>
    <row r="187" ht="13.5" customHeight="1" s="199">
      <c r="A187" s="114" t="n"/>
      <c r="B187" s="187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3" t="n"/>
      <c r="L187" s="113" t="n"/>
      <c r="M187" s="113" t="n"/>
    </row>
    <row r="188" ht="13.5" customHeight="1" s="199">
      <c r="A188" s="114" t="n"/>
      <c r="B188" s="187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3" t="n"/>
      <c r="L188" s="113" t="n"/>
      <c r="M188" s="113" t="n"/>
    </row>
    <row r="189" ht="13.5" customHeight="1" s="199">
      <c r="A189" s="114" t="n"/>
      <c r="B189" s="187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3" t="n"/>
      <c r="L189" s="113" t="n"/>
      <c r="M189" s="113" t="n"/>
    </row>
    <row r="190" ht="13.5" customHeight="1" s="199">
      <c r="A190" s="114" t="n"/>
      <c r="B190" s="187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3" t="n"/>
      <c r="L190" s="113" t="n"/>
      <c r="M190" s="113" t="n"/>
    </row>
    <row r="191" ht="13.5" customHeight="1" s="199">
      <c r="A191" s="114" t="n"/>
      <c r="B191" s="187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3" t="n"/>
      <c r="L191" s="113" t="n"/>
      <c r="M191" s="113" t="n"/>
    </row>
    <row r="192" ht="13.5" customHeight="1" s="199">
      <c r="A192" s="114" t="n"/>
      <c r="B192" s="187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3" t="n"/>
      <c r="L192" s="113" t="n"/>
      <c r="M192" s="113" t="n"/>
    </row>
    <row r="193" ht="13.5" customHeight="1" s="199">
      <c r="A193" s="114" t="n"/>
      <c r="B193" s="187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3" t="n"/>
      <c r="L193" s="113" t="n"/>
      <c r="M193" s="113" t="n"/>
    </row>
    <row r="194" ht="13.5" customHeight="1" s="199">
      <c r="A194" s="114" t="n"/>
      <c r="B194" s="187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3" t="n"/>
      <c r="L194" s="113" t="n"/>
      <c r="M194" s="113" t="n"/>
    </row>
    <row r="195" ht="13.5" customHeight="1" s="199">
      <c r="A195" s="114" t="n"/>
      <c r="B195" s="187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3" t="n"/>
      <c r="L195" s="113" t="n"/>
      <c r="M195" s="113" t="n"/>
    </row>
    <row r="196" ht="13.5" customHeight="1" s="199">
      <c r="A196" s="114" t="n"/>
      <c r="B196" s="187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3" t="n"/>
      <c r="L196" s="113" t="n"/>
      <c r="M196" s="113" t="n"/>
    </row>
    <row r="197" ht="13.5" customHeight="1" s="199">
      <c r="A197" s="114" t="n"/>
      <c r="B197" s="187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3" t="n"/>
      <c r="L197" s="113" t="n"/>
      <c r="M197" s="113" t="n"/>
    </row>
    <row r="198" ht="13.5" customHeight="1" s="199">
      <c r="A198" s="114" t="n"/>
      <c r="B198" s="187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3" t="n"/>
      <c r="L198" s="113" t="n"/>
      <c r="M198" s="113" t="n"/>
    </row>
    <row r="199" ht="13.5" customHeight="1" s="199">
      <c r="A199" s="114" t="n"/>
      <c r="B199" s="187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3" t="n"/>
      <c r="L199" s="113" t="n"/>
      <c r="M199" s="113" t="n"/>
    </row>
    <row r="200" ht="13.5" customHeight="1" s="199">
      <c r="A200" s="114" t="n"/>
      <c r="B200" s="187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3" t="n"/>
      <c r="L200" s="113" t="n"/>
      <c r="M200" s="113" t="n"/>
    </row>
    <row r="201" ht="13.5" customHeight="1" s="199">
      <c r="A201" s="114" t="n"/>
      <c r="B201" s="187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3" t="n"/>
      <c r="L201" s="113" t="n"/>
      <c r="M201" s="113" t="n"/>
    </row>
    <row r="202" ht="13.5" customHeight="1" s="199">
      <c r="A202" s="114" t="n"/>
      <c r="B202" s="187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3" t="n"/>
      <c r="L202" s="113" t="n"/>
      <c r="M202" s="113" t="n"/>
    </row>
    <row r="203" ht="13.5" customHeight="1" s="199">
      <c r="A203" s="114" t="n"/>
      <c r="B203" s="187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3" t="n"/>
      <c r="L203" s="113" t="n"/>
      <c r="M203" s="113" t="n"/>
    </row>
    <row r="204" ht="13.5" customHeight="1" s="199">
      <c r="A204" s="114" t="n"/>
      <c r="B204" s="187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3" t="n"/>
      <c r="L204" s="113" t="n"/>
      <c r="M204" s="113" t="n"/>
    </row>
    <row r="205" ht="13.5" customHeight="1" s="199">
      <c r="A205" s="114" t="n"/>
      <c r="B205" s="187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3" t="n"/>
      <c r="L205" s="113" t="n"/>
      <c r="M205" s="113" t="n"/>
    </row>
    <row r="206" ht="13.5" customHeight="1" s="199">
      <c r="A206" s="114" t="n"/>
      <c r="B206" s="187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3" t="n"/>
      <c r="L206" s="113" t="n"/>
      <c r="M206" s="113" t="n"/>
    </row>
    <row r="207" ht="13.5" customHeight="1" s="199">
      <c r="A207" s="114" t="n"/>
      <c r="B207" s="187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3" t="n"/>
      <c r="L207" s="113" t="n"/>
      <c r="M207" s="113" t="n"/>
    </row>
    <row r="208" ht="13.5" customHeight="1" s="199">
      <c r="A208" s="114" t="n"/>
      <c r="B208" s="187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3" t="n"/>
      <c r="L208" s="113" t="n"/>
      <c r="M208" s="113" t="n"/>
    </row>
    <row r="209" ht="13.5" customHeight="1" s="199">
      <c r="A209" s="114" t="n"/>
      <c r="B209" s="187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3" t="n"/>
      <c r="L209" s="113" t="n"/>
      <c r="M209" s="113" t="n"/>
    </row>
    <row r="210" ht="13.5" customHeight="1" s="199">
      <c r="A210" s="114" t="n"/>
      <c r="B210" s="187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3" t="n"/>
      <c r="L210" s="113" t="n"/>
      <c r="M210" s="113" t="n"/>
    </row>
    <row r="211" ht="13.5" customHeight="1" s="199">
      <c r="A211" s="114" t="n"/>
      <c r="B211" s="187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3" t="n"/>
      <c r="L211" s="113" t="n"/>
      <c r="M211" s="113" t="n"/>
    </row>
    <row r="212" ht="13.5" customHeight="1" s="199">
      <c r="A212" s="114" t="n"/>
      <c r="B212" s="187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3" t="n"/>
      <c r="L212" s="113" t="n"/>
      <c r="M212" s="113" t="n"/>
    </row>
    <row r="213" ht="13.5" customHeight="1" s="199">
      <c r="A213" s="114" t="n"/>
      <c r="B213" s="187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3" t="n"/>
      <c r="L213" s="113" t="n"/>
      <c r="M213" s="113" t="n"/>
    </row>
    <row r="214" ht="13.5" customHeight="1" s="199">
      <c r="A214" s="114" t="n"/>
      <c r="B214" s="187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3" t="n"/>
      <c r="L214" s="113" t="n"/>
      <c r="M214" s="113" t="n"/>
    </row>
    <row r="215" ht="13.5" customHeight="1" s="199">
      <c r="A215" s="114" t="n"/>
      <c r="B215" s="187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3" t="n"/>
      <c r="L215" s="113" t="n"/>
      <c r="M215" s="113" t="n"/>
    </row>
    <row r="216" ht="13.5" customHeight="1" s="199">
      <c r="A216" s="114" t="n"/>
      <c r="B216" s="187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3" t="n"/>
      <c r="L216" s="113" t="n"/>
      <c r="M216" s="113" t="n"/>
    </row>
    <row r="217" ht="13.5" customHeight="1" s="199">
      <c r="A217" s="114" t="n"/>
      <c r="B217" s="187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3" t="n"/>
      <c r="L217" s="113" t="n"/>
      <c r="M217" s="113" t="n"/>
    </row>
    <row r="218" ht="13.5" customHeight="1" s="199">
      <c r="A218" s="114" t="n"/>
      <c r="B218" s="187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3" t="n"/>
      <c r="L218" s="113" t="n"/>
      <c r="M218" s="113" t="n"/>
    </row>
    <row r="219" ht="13.5" customHeight="1" s="199">
      <c r="A219" s="114" t="n"/>
      <c r="B219" s="187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3" t="n"/>
      <c r="L219" s="113" t="n"/>
      <c r="M219" s="113" t="n"/>
    </row>
    <row r="220" ht="13.5" customHeight="1" s="199">
      <c r="A220" s="114" t="n"/>
      <c r="B220" s="187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3" t="n"/>
      <c r="L220" s="113" t="n"/>
      <c r="M220" s="113" t="n"/>
    </row>
    <row r="221" ht="13.5" customHeight="1" s="199">
      <c r="A221" s="114" t="n"/>
      <c r="B221" s="187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3" t="n"/>
      <c r="L221" s="113" t="n"/>
      <c r="M221" s="113" t="n"/>
    </row>
    <row r="222" ht="13.5" customHeight="1" s="199">
      <c r="A222" s="114" t="n"/>
      <c r="B222" s="187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3" t="n"/>
      <c r="L222" s="113" t="n"/>
      <c r="M222" s="113" t="n"/>
    </row>
    <row r="223" ht="13.5" customHeight="1" s="199">
      <c r="A223" s="114" t="n"/>
      <c r="B223" s="187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3" t="n"/>
      <c r="L223" s="113" t="n"/>
      <c r="M223" s="113" t="n"/>
    </row>
    <row r="224" ht="13.5" customHeight="1" s="199">
      <c r="A224" s="114" t="n"/>
      <c r="B224" s="187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3" t="n"/>
      <c r="L224" s="113" t="n"/>
      <c r="M224" s="113" t="n"/>
    </row>
    <row r="225" ht="13.5" customHeight="1" s="199">
      <c r="A225" s="114" t="n"/>
      <c r="B225" s="187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3" t="n"/>
      <c r="L225" s="113" t="n"/>
      <c r="M225" s="113" t="n"/>
    </row>
    <row r="226" ht="13.5" customHeight="1" s="199">
      <c r="A226" s="114" t="n"/>
      <c r="B226" s="187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3" t="n"/>
      <c r="L226" s="113" t="n"/>
      <c r="M226" s="113" t="n"/>
    </row>
    <row r="227" ht="13.5" customHeight="1" s="199">
      <c r="A227" s="114" t="n"/>
      <c r="B227" s="187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3" t="n"/>
      <c r="L227" s="113" t="n"/>
      <c r="M227" s="113" t="n"/>
    </row>
    <row r="228" ht="13.5" customHeight="1" s="199">
      <c r="A228" s="114" t="n"/>
      <c r="B228" s="187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3" t="n"/>
      <c r="L228" s="113" t="n"/>
      <c r="M228" s="113" t="n"/>
    </row>
    <row r="229" ht="13.5" customHeight="1" s="199">
      <c r="A229" s="114" t="n"/>
      <c r="B229" s="187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3" t="n"/>
      <c r="L229" s="113" t="n"/>
      <c r="M229" s="113" t="n"/>
    </row>
    <row r="230" ht="13.5" customHeight="1" s="199">
      <c r="A230" s="114" t="n"/>
      <c r="B230" s="187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3" t="n"/>
      <c r="L230" s="113" t="n"/>
      <c r="M230" s="113" t="n"/>
    </row>
    <row r="231" ht="13.5" customHeight="1" s="199">
      <c r="A231" s="114" t="n"/>
      <c r="B231" s="187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3" t="n"/>
      <c r="L231" s="113" t="n"/>
      <c r="M231" s="113" t="n"/>
    </row>
    <row r="232" ht="13.5" customHeight="1" s="199">
      <c r="A232" s="114" t="n"/>
      <c r="B232" s="187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3" t="n"/>
      <c r="L232" s="113" t="n"/>
      <c r="M232" s="113" t="n"/>
    </row>
    <row r="233" ht="13.5" customHeight="1" s="199">
      <c r="A233" s="114" t="n"/>
      <c r="B233" s="187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3" t="n"/>
      <c r="L233" s="113" t="n"/>
      <c r="M233" s="113" t="n"/>
    </row>
    <row r="234" ht="13.5" customHeight="1" s="199">
      <c r="A234" s="114" t="n"/>
      <c r="B234" s="187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3" t="n"/>
      <c r="L234" s="113" t="n"/>
      <c r="M234" s="113" t="n"/>
    </row>
    <row r="235" ht="13.5" customHeight="1" s="199">
      <c r="A235" s="114" t="n"/>
      <c r="B235" s="187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3" t="n"/>
      <c r="L235" s="113" t="n"/>
      <c r="M235" s="113" t="n"/>
    </row>
    <row r="236" ht="13.5" customHeight="1" s="199">
      <c r="A236" s="114" t="n"/>
      <c r="B236" s="187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3" t="n"/>
      <c r="L236" s="113" t="n"/>
      <c r="M236" s="113" t="n"/>
    </row>
    <row r="237" ht="13.5" customHeight="1" s="199">
      <c r="A237" s="114" t="n"/>
      <c r="B237" s="187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3" t="n"/>
      <c r="L237" s="113" t="n"/>
      <c r="M237" s="113" t="n"/>
    </row>
    <row r="238" ht="13.5" customHeight="1" s="199">
      <c r="A238" s="114" t="n"/>
      <c r="B238" s="187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3" t="n"/>
      <c r="L238" s="113" t="n"/>
      <c r="M238" s="113" t="n"/>
    </row>
    <row r="239" ht="13.5" customHeight="1" s="199">
      <c r="A239" s="114" t="n"/>
      <c r="B239" s="187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3" t="n"/>
      <c r="L239" s="113" t="n"/>
      <c r="M239" s="113" t="n"/>
    </row>
    <row r="240" ht="13.5" customHeight="1" s="199">
      <c r="A240" s="114" t="n"/>
      <c r="B240" s="187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3" t="n"/>
      <c r="L240" s="113" t="n"/>
      <c r="M240" s="113" t="n"/>
    </row>
    <row r="241" ht="13.5" customHeight="1" s="199">
      <c r="A241" s="114" t="n"/>
      <c r="B241" s="187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3" t="n"/>
      <c r="L241" s="113" t="n"/>
      <c r="M241" s="113" t="n"/>
    </row>
    <row r="242" ht="13.5" customHeight="1" s="199">
      <c r="A242" s="114" t="n"/>
      <c r="B242" s="187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3" t="n"/>
      <c r="L242" s="113" t="n"/>
      <c r="M242" s="113" t="n"/>
    </row>
    <row r="243" ht="13.5" customHeight="1" s="199">
      <c r="A243" s="114" t="n"/>
      <c r="B243" s="187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3" t="n"/>
      <c r="L243" s="113" t="n"/>
      <c r="M243" s="113" t="n"/>
    </row>
    <row r="244" ht="13.5" customHeight="1" s="199">
      <c r="A244" s="114" t="n"/>
      <c r="B244" s="187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3" t="n"/>
      <c r="L244" s="113" t="n"/>
      <c r="M244" s="113" t="n"/>
    </row>
    <row r="245" ht="13.5" customHeight="1" s="199">
      <c r="A245" s="114" t="n"/>
      <c r="B245" s="187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3" t="n"/>
      <c r="L245" s="113" t="n"/>
      <c r="M245" s="113" t="n"/>
    </row>
    <row r="246" ht="15.75" customHeight="1" s="199"/>
    <row r="247" ht="15.75" customHeight="1" s="199"/>
    <row r="248" ht="15.75" customHeight="1" s="199"/>
    <row r="249" ht="15.75" customHeight="1" s="199"/>
    <row r="250" ht="15.75" customHeight="1" s="199"/>
    <row r="251" ht="15.75" customHeight="1" s="199"/>
    <row r="252" ht="15.75" customHeight="1" s="199"/>
    <row r="253" ht="15.75" customHeight="1" s="199"/>
    <row r="254" ht="15.75" customHeight="1" s="199"/>
    <row r="255" ht="15.75" customHeight="1" s="199"/>
    <row r="256" ht="15.75" customHeight="1" s="199"/>
    <row r="257" ht="15.75" customHeight="1" s="199"/>
    <row r="258" ht="15.75" customHeight="1" s="199"/>
    <row r="259" ht="15.75" customHeight="1" s="199"/>
    <row r="260" ht="15.75" customHeight="1" s="199"/>
    <row r="261" ht="15.75" customHeight="1" s="199"/>
    <row r="262" ht="15.75" customHeight="1" s="199"/>
    <row r="263" ht="15.75" customHeight="1" s="199"/>
    <row r="264" ht="15.75" customHeight="1" s="199"/>
    <row r="265" ht="15.75" customHeight="1" s="199"/>
    <row r="266" ht="15.75" customHeight="1" s="199"/>
    <row r="267" ht="15.75" customHeight="1" s="199"/>
    <row r="268" ht="15.75" customHeight="1" s="199"/>
    <row r="269" ht="15.75" customHeight="1" s="199"/>
    <row r="270" ht="15.75" customHeight="1" s="199"/>
    <row r="271" ht="15.75" customHeight="1" s="199"/>
    <row r="272" ht="15.75" customHeight="1" s="199"/>
    <row r="273" ht="15.75" customHeight="1" s="199"/>
    <row r="274" ht="15.75" customHeight="1" s="199"/>
    <row r="275" ht="15.75" customHeight="1" s="199"/>
    <row r="276" ht="15.75" customHeight="1" s="199"/>
    <row r="277" ht="15.75" customHeight="1" s="199"/>
    <row r="278" ht="15.75" customHeight="1" s="199"/>
    <row r="279" ht="15.75" customHeight="1" s="199"/>
    <row r="280" ht="15.75" customHeight="1" s="199"/>
    <row r="281" ht="15.75" customHeight="1" s="199"/>
    <row r="282" ht="15.75" customHeight="1" s="199"/>
    <row r="283" ht="15.75" customHeight="1" s="199"/>
    <row r="284" ht="15.75" customHeight="1" s="199"/>
    <row r="285" ht="15.75" customHeight="1" s="199"/>
    <row r="286" ht="15.75" customHeight="1" s="199"/>
    <row r="287" ht="15.75" customHeight="1" s="199"/>
    <row r="288" ht="15.75" customHeight="1" s="199"/>
    <row r="289" ht="15.75" customHeight="1" s="199"/>
    <row r="290" ht="15.75" customHeight="1" s="199"/>
    <row r="291" ht="15.75" customHeight="1" s="199"/>
    <row r="292" ht="15.75" customHeight="1" s="199"/>
    <row r="293" ht="15.75" customHeight="1" s="199"/>
    <row r="294" ht="15.75" customHeight="1" s="199"/>
    <row r="295" ht="15.75" customHeight="1" s="199"/>
    <row r="296" ht="15.75" customHeight="1" s="199"/>
    <row r="297" ht="15.75" customHeight="1" s="199"/>
    <row r="298" ht="15.75" customHeight="1" s="199"/>
    <row r="299" ht="15.75" customHeight="1" s="199"/>
    <row r="300" ht="15.75" customHeight="1" s="199"/>
    <row r="301" ht="15.75" customHeight="1" s="199"/>
    <row r="302" ht="15.75" customHeight="1" s="199"/>
    <row r="303" ht="15.75" customHeight="1" s="199"/>
    <row r="304" ht="15.75" customHeight="1" s="199"/>
    <row r="305" ht="15.75" customHeight="1" s="199"/>
    <row r="306" ht="15.75" customHeight="1" s="199"/>
    <row r="307" ht="15.75" customHeight="1" s="199"/>
    <row r="308" ht="15.75" customHeight="1" s="199"/>
    <row r="309" ht="15.75" customHeight="1" s="199"/>
    <row r="310" ht="15.75" customHeight="1" s="199"/>
    <row r="311" ht="15.75" customHeight="1" s="199"/>
    <row r="312" ht="15.75" customHeight="1" s="199"/>
    <row r="313" ht="15.75" customHeight="1" s="199"/>
    <row r="314" ht="15.75" customHeight="1" s="199"/>
    <row r="315" ht="15.75" customHeight="1" s="199"/>
    <row r="316" ht="15.75" customHeight="1" s="199"/>
    <row r="317" ht="15.75" customHeight="1" s="199"/>
    <row r="318" ht="15.75" customHeight="1" s="199"/>
    <row r="319" ht="15.75" customHeight="1" s="199"/>
    <row r="320" ht="15.75" customHeight="1" s="199"/>
    <row r="321" ht="15.75" customHeight="1" s="199"/>
    <row r="322" ht="15.75" customHeight="1" s="199"/>
    <row r="323" ht="15.75" customHeight="1" s="199"/>
    <row r="324" ht="15.75" customHeight="1" s="199"/>
    <row r="325" ht="15.75" customHeight="1" s="199"/>
    <row r="326" ht="15.75" customHeight="1" s="199"/>
    <row r="327" ht="15.75" customHeight="1" s="199"/>
    <row r="328" ht="15.75" customHeight="1" s="199"/>
    <row r="329" ht="15.75" customHeight="1" s="199"/>
    <row r="330" ht="15.75" customHeight="1" s="199"/>
    <row r="331" ht="15.75" customHeight="1" s="199"/>
    <row r="332" ht="15.75" customHeight="1" s="199"/>
    <row r="333" ht="15.75" customHeight="1" s="199"/>
    <row r="334" ht="15.75" customHeight="1" s="199"/>
    <row r="335" ht="15.75" customHeight="1" s="199"/>
    <row r="336" ht="15.75" customHeight="1" s="199"/>
    <row r="337" ht="15.75" customHeight="1" s="199"/>
    <row r="338" ht="15.75" customHeight="1" s="199"/>
    <row r="339" ht="15.75" customHeight="1" s="199"/>
    <row r="340" ht="15.75" customHeight="1" s="199"/>
    <row r="341" ht="15.75" customHeight="1" s="199"/>
    <row r="342" ht="15.75" customHeight="1" s="199"/>
    <row r="343" ht="15.75" customHeight="1" s="199"/>
    <row r="344" ht="15.75" customHeight="1" s="199"/>
    <row r="345" ht="15.75" customHeight="1" s="199"/>
    <row r="346" ht="15.75" customHeight="1" s="199"/>
    <row r="347" ht="15.75" customHeight="1" s="199"/>
    <row r="348" ht="15.75" customHeight="1" s="199"/>
    <row r="349" ht="15.75" customHeight="1" s="199"/>
    <row r="350" ht="15.75" customHeight="1" s="199"/>
    <row r="351" ht="15.75" customHeight="1" s="199"/>
    <row r="352" ht="15.75" customHeight="1" s="199"/>
    <row r="353" ht="15.75" customHeight="1" s="199"/>
    <row r="354" ht="15.75" customHeight="1" s="199"/>
    <row r="355" ht="15.75" customHeight="1" s="199"/>
    <row r="356" ht="15.75" customHeight="1" s="199"/>
    <row r="357" ht="15.75" customHeight="1" s="199"/>
    <row r="358" ht="15.75" customHeight="1" s="199"/>
    <row r="359" ht="15.75" customHeight="1" s="199"/>
    <row r="360" ht="15.75" customHeight="1" s="199"/>
    <row r="361" ht="15.75" customHeight="1" s="199"/>
    <row r="362" ht="15.75" customHeight="1" s="199"/>
    <row r="363" ht="15.75" customHeight="1" s="199"/>
    <row r="364" ht="15.75" customHeight="1" s="199"/>
    <row r="365" ht="15.75" customHeight="1" s="199"/>
    <row r="366" ht="15.75" customHeight="1" s="199"/>
    <row r="367" ht="15.75" customHeight="1" s="199"/>
    <row r="368" ht="15.75" customHeight="1" s="199"/>
    <row r="369" ht="15.75" customHeight="1" s="199"/>
    <row r="370" ht="15.75" customHeight="1" s="199"/>
    <row r="371" ht="15.75" customHeight="1" s="199"/>
    <row r="372" ht="15.75" customHeight="1" s="199"/>
    <row r="373" ht="15.75" customHeight="1" s="199"/>
    <row r="374" ht="15.75" customHeight="1" s="199"/>
    <row r="375" ht="15.75" customHeight="1" s="199"/>
    <row r="376" ht="15.75" customHeight="1" s="199"/>
    <row r="377" ht="15.75" customHeight="1" s="199"/>
    <row r="378" ht="15.75" customHeight="1" s="199"/>
    <row r="379" ht="15.75" customHeight="1" s="199"/>
    <row r="380" ht="15.75" customHeight="1" s="199"/>
    <row r="381" ht="15.75" customHeight="1" s="199"/>
    <row r="382" ht="15.75" customHeight="1" s="199"/>
    <row r="383" ht="15.75" customHeight="1" s="199"/>
    <row r="384" ht="15.75" customHeight="1" s="199"/>
    <row r="385" ht="15.75" customHeight="1" s="199"/>
    <row r="386" ht="15.75" customHeight="1" s="199"/>
    <row r="387" ht="15.75" customHeight="1" s="199"/>
    <row r="388" ht="15.75" customHeight="1" s="199"/>
    <row r="389" ht="15.75" customHeight="1" s="199"/>
    <row r="390" ht="15.75" customHeight="1" s="199"/>
    <row r="391" ht="15.75" customHeight="1" s="199"/>
    <row r="392" ht="15.75" customHeight="1" s="199"/>
    <row r="393" ht="15.75" customHeight="1" s="199"/>
    <row r="394" ht="15.75" customHeight="1" s="199"/>
    <row r="395" ht="15.75" customHeight="1" s="199"/>
    <row r="396" ht="15.75" customHeight="1" s="199"/>
    <row r="397" ht="15.75" customHeight="1" s="199"/>
    <row r="398" ht="15.75" customHeight="1" s="199"/>
    <row r="399" ht="15.75" customHeight="1" s="199"/>
    <row r="400" ht="15.75" customHeight="1" s="199"/>
    <row r="401" ht="15.75" customHeight="1" s="199"/>
    <row r="402" ht="15.75" customHeight="1" s="199"/>
    <row r="403" ht="15.75" customHeight="1" s="199"/>
    <row r="404" ht="15.75" customHeight="1" s="199"/>
    <row r="405" ht="15.75" customHeight="1" s="199"/>
    <row r="406" ht="15.75" customHeight="1" s="199"/>
    <row r="407" ht="15.75" customHeight="1" s="199"/>
    <row r="408" ht="15.75" customHeight="1" s="199"/>
    <row r="409" ht="15.75" customHeight="1" s="199"/>
    <row r="410" ht="15.75" customHeight="1" s="199"/>
    <row r="411" ht="15.75" customHeight="1" s="199"/>
    <row r="412" ht="15.75" customHeight="1" s="199"/>
    <row r="413" ht="15.75" customHeight="1" s="199"/>
    <row r="414" ht="15.75" customHeight="1" s="199"/>
    <row r="415" ht="15.75" customHeight="1" s="199"/>
    <row r="416" ht="15.75" customHeight="1" s="199"/>
    <row r="417" ht="15.75" customHeight="1" s="199"/>
    <row r="418" ht="15.75" customHeight="1" s="199"/>
    <row r="419" ht="15.75" customHeight="1" s="199"/>
    <row r="420" ht="15.75" customHeight="1" s="199"/>
    <row r="421" ht="15.75" customHeight="1" s="199"/>
    <row r="422" ht="15.75" customHeight="1" s="199"/>
    <row r="423" ht="15.75" customHeight="1" s="199"/>
    <row r="424" ht="15.75" customHeight="1" s="199"/>
    <row r="425" ht="15.75" customHeight="1" s="199"/>
    <row r="426" ht="15.75" customHeight="1" s="199"/>
    <row r="427" ht="15.75" customHeight="1" s="199"/>
    <row r="428" ht="15.75" customHeight="1" s="199"/>
    <row r="429" ht="15.75" customHeight="1" s="199"/>
    <row r="430" ht="15.75" customHeight="1" s="199"/>
    <row r="431" ht="15.75" customHeight="1" s="199"/>
    <row r="432" ht="15.75" customHeight="1" s="199"/>
    <row r="433" ht="15.75" customHeight="1" s="199"/>
    <row r="434" ht="15.75" customHeight="1" s="199"/>
    <row r="435" ht="15.75" customHeight="1" s="199"/>
    <row r="436" ht="15.75" customHeight="1" s="199"/>
    <row r="437" ht="15.75" customHeight="1" s="199"/>
    <row r="438" ht="15.75" customHeight="1" s="199"/>
    <row r="439" ht="15.75" customHeight="1" s="199"/>
    <row r="440" ht="15.75" customHeight="1" s="199"/>
    <row r="441" ht="15.75" customHeight="1" s="199"/>
    <row r="442" ht="15.75" customHeight="1" s="199"/>
    <row r="443" ht="15.75" customHeight="1" s="199"/>
    <row r="444" ht="15.75" customHeight="1" s="199"/>
    <row r="445" ht="15.75" customHeight="1" s="199"/>
    <row r="446" ht="15.75" customHeight="1" s="199"/>
    <row r="447" ht="15.75" customHeight="1" s="199"/>
    <row r="448" ht="15.75" customHeight="1" s="199"/>
    <row r="449" ht="15.75" customHeight="1" s="199"/>
    <row r="450" ht="15.75" customHeight="1" s="199"/>
    <row r="451" ht="15.75" customHeight="1" s="199"/>
    <row r="452" ht="15.75" customHeight="1" s="199"/>
    <row r="453" ht="15.75" customHeight="1" s="199"/>
    <row r="454" ht="15.75" customHeight="1" s="199"/>
    <row r="455" ht="15.75" customHeight="1" s="199"/>
    <row r="456" ht="15.75" customHeight="1" s="199"/>
    <row r="457" ht="15.75" customHeight="1" s="199"/>
    <row r="458" ht="15.75" customHeight="1" s="199"/>
    <row r="459" ht="15.75" customHeight="1" s="199"/>
    <row r="460" ht="15.75" customHeight="1" s="199"/>
    <row r="461" ht="15.75" customHeight="1" s="199"/>
    <row r="462" ht="15.75" customHeight="1" s="199"/>
    <row r="463" ht="15.75" customHeight="1" s="199"/>
    <row r="464" ht="15.75" customHeight="1" s="199"/>
    <row r="465" ht="15.75" customHeight="1" s="199"/>
    <row r="466" ht="15.75" customHeight="1" s="199"/>
    <row r="467" ht="15.75" customHeight="1" s="199"/>
    <row r="468" ht="15.75" customHeight="1" s="199"/>
    <row r="469" ht="15.75" customHeight="1" s="199"/>
    <row r="470" ht="15.75" customHeight="1" s="199"/>
    <row r="471" ht="15.75" customHeight="1" s="199"/>
    <row r="472" ht="15.75" customHeight="1" s="199"/>
    <row r="473" ht="15.75" customHeight="1" s="199"/>
    <row r="474" ht="15.75" customHeight="1" s="199"/>
    <row r="475" ht="15.75" customHeight="1" s="199"/>
    <row r="476" ht="15.75" customHeight="1" s="199"/>
    <row r="477" ht="15.75" customHeight="1" s="199"/>
    <row r="478" ht="15.75" customHeight="1" s="199"/>
    <row r="479" ht="15.75" customHeight="1" s="199"/>
    <row r="480" ht="15.75" customHeight="1" s="199"/>
    <row r="481" ht="15.75" customHeight="1" s="199"/>
    <row r="482" ht="15.75" customHeight="1" s="199"/>
    <row r="483" ht="15.75" customHeight="1" s="199"/>
    <row r="484" ht="15.75" customHeight="1" s="199"/>
    <row r="485" ht="15.75" customHeight="1" s="199"/>
    <row r="486" ht="15.75" customHeight="1" s="199"/>
    <row r="487" ht="15.75" customHeight="1" s="199"/>
    <row r="488" ht="15.75" customHeight="1" s="199"/>
    <row r="489" ht="15.75" customHeight="1" s="199"/>
    <row r="490" ht="15.75" customHeight="1" s="199"/>
    <row r="491" ht="15.75" customHeight="1" s="199"/>
    <row r="492" ht="15.75" customHeight="1" s="199"/>
    <row r="493" ht="15.75" customHeight="1" s="199"/>
    <row r="494" ht="15.75" customHeight="1" s="199"/>
    <row r="495" ht="15.75" customHeight="1" s="199"/>
    <row r="496" ht="15.75" customHeight="1" s="199"/>
    <row r="497" ht="15.75" customHeight="1" s="199"/>
    <row r="498" ht="15.75" customHeight="1" s="199"/>
    <row r="499" ht="15.75" customHeight="1" s="199"/>
    <row r="500" ht="15.75" customHeight="1" s="199"/>
    <row r="501" ht="15.75" customHeight="1" s="199"/>
    <row r="502" ht="15.75" customHeight="1" s="199"/>
    <row r="503" ht="15.75" customHeight="1" s="199"/>
    <row r="504" ht="15.75" customHeight="1" s="199"/>
    <row r="505" ht="15.75" customHeight="1" s="199"/>
    <row r="506" ht="15.75" customHeight="1" s="199"/>
    <row r="507" ht="15.75" customHeight="1" s="199"/>
    <row r="508" ht="15.75" customHeight="1" s="199"/>
    <row r="509" ht="15.75" customHeight="1" s="199"/>
    <row r="510" ht="15.75" customHeight="1" s="199"/>
    <row r="511" ht="15.75" customHeight="1" s="199"/>
    <row r="512" ht="15.75" customHeight="1" s="199"/>
    <row r="513" ht="15.75" customHeight="1" s="199"/>
    <row r="514" ht="15.75" customHeight="1" s="199"/>
    <row r="515" ht="15.75" customHeight="1" s="199"/>
    <row r="516" ht="15.75" customHeight="1" s="199"/>
    <row r="517" ht="15.75" customHeight="1" s="199"/>
    <row r="518" ht="15.75" customHeight="1" s="199"/>
    <row r="519" ht="15.75" customHeight="1" s="199"/>
    <row r="520" ht="15.75" customHeight="1" s="199"/>
    <row r="521" ht="15.75" customHeight="1" s="199"/>
    <row r="522" ht="15.75" customHeight="1" s="199"/>
    <row r="523" ht="15.75" customHeight="1" s="199"/>
    <row r="524" ht="15.75" customHeight="1" s="199"/>
    <row r="525" ht="15.75" customHeight="1" s="199"/>
    <row r="526" ht="15.75" customHeight="1" s="199"/>
    <row r="527" ht="15.75" customHeight="1" s="199"/>
    <row r="528" ht="15.75" customHeight="1" s="199"/>
    <row r="529" ht="15.75" customHeight="1" s="199"/>
    <row r="530" ht="15.75" customHeight="1" s="199"/>
    <row r="531" ht="15.75" customHeight="1" s="199"/>
    <row r="532" ht="15.75" customHeight="1" s="199"/>
    <row r="533" ht="15.75" customHeight="1" s="199"/>
    <row r="534" ht="15.75" customHeight="1" s="199"/>
    <row r="535" ht="15.75" customHeight="1" s="199"/>
    <row r="536" ht="15.75" customHeight="1" s="199"/>
    <row r="537" ht="15.75" customHeight="1" s="199"/>
    <row r="538" ht="15.75" customHeight="1" s="199"/>
    <row r="539" ht="15.75" customHeight="1" s="199"/>
    <row r="540" ht="15.75" customHeight="1" s="199"/>
    <row r="541" ht="15.75" customHeight="1" s="199"/>
    <row r="542" ht="15.75" customHeight="1" s="199"/>
    <row r="543" ht="15.75" customHeight="1" s="199"/>
    <row r="544" ht="15.75" customHeight="1" s="199"/>
    <row r="545" ht="15.75" customHeight="1" s="199"/>
    <row r="546" ht="15.75" customHeight="1" s="199"/>
    <row r="547" ht="15.75" customHeight="1" s="199"/>
    <row r="548" ht="15.75" customHeight="1" s="199"/>
    <row r="549" ht="15.75" customHeight="1" s="199"/>
    <row r="550" ht="15.75" customHeight="1" s="199"/>
    <row r="551" ht="15.75" customHeight="1" s="199"/>
    <row r="552" ht="15.75" customHeight="1" s="199"/>
    <row r="553" ht="15.75" customHeight="1" s="199"/>
    <row r="554" ht="15.75" customHeight="1" s="199"/>
    <row r="555" ht="15.75" customHeight="1" s="199"/>
    <row r="556" ht="15.75" customHeight="1" s="199"/>
    <row r="557" ht="15.75" customHeight="1" s="199"/>
    <row r="558" ht="15.75" customHeight="1" s="199"/>
    <row r="559" ht="15.75" customHeight="1" s="199"/>
    <row r="560" ht="15.75" customHeight="1" s="199"/>
    <row r="561" ht="15.75" customHeight="1" s="199"/>
    <row r="562" ht="15.75" customHeight="1" s="199"/>
    <row r="563" ht="15.75" customHeight="1" s="199"/>
    <row r="564" ht="15.75" customHeight="1" s="199"/>
    <row r="565" ht="15.75" customHeight="1" s="199"/>
    <row r="566" ht="15.75" customHeight="1" s="199"/>
    <row r="567" ht="15.75" customHeight="1" s="199"/>
    <row r="568" ht="15.75" customHeight="1" s="199"/>
    <row r="569" ht="15.75" customHeight="1" s="199"/>
    <row r="570" ht="15.75" customHeight="1" s="199"/>
    <row r="571" ht="15.75" customHeight="1" s="199"/>
    <row r="572" ht="15.75" customHeight="1" s="199"/>
    <row r="573" ht="15.75" customHeight="1" s="199"/>
    <row r="574" ht="15.75" customHeight="1" s="199"/>
    <row r="575" ht="15.75" customHeight="1" s="199"/>
    <row r="576" ht="15.75" customHeight="1" s="199"/>
    <row r="577" ht="15.75" customHeight="1" s="199"/>
    <row r="578" ht="15.75" customHeight="1" s="199"/>
    <row r="579" ht="15.75" customHeight="1" s="199"/>
    <row r="580" ht="15.75" customHeight="1" s="199"/>
    <row r="581" ht="15.75" customHeight="1" s="199"/>
    <row r="582" ht="15.75" customHeight="1" s="199"/>
    <row r="583" ht="15.75" customHeight="1" s="199"/>
    <row r="584" ht="15.75" customHeight="1" s="199"/>
    <row r="585" ht="15.75" customHeight="1" s="199"/>
    <row r="586" ht="15.75" customHeight="1" s="199"/>
    <row r="587" ht="15.75" customHeight="1" s="199"/>
    <row r="588" ht="15.75" customHeight="1" s="199"/>
    <row r="589" ht="15.75" customHeight="1" s="199"/>
    <row r="590" ht="15.75" customHeight="1" s="199"/>
    <row r="591" ht="15.75" customHeight="1" s="199"/>
    <row r="592" ht="15.75" customHeight="1" s="199"/>
    <row r="593" ht="15.75" customHeight="1" s="199"/>
    <row r="594" ht="15.75" customHeight="1" s="199"/>
    <row r="595" ht="15.75" customHeight="1" s="199"/>
    <row r="596" ht="15.75" customHeight="1" s="199"/>
    <row r="597" ht="15.75" customHeight="1" s="199"/>
    <row r="598" ht="15.75" customHeight="1" s="199"/>
    <row r="599" ht="15.75" customHeight="1" s="199"/>
    <row r="600" ht="15.75" customHeight="1" s="199"/>
    <row r="601" ht="15.75" customHeight="1" s="199"/>
    <row r="602" ht="15.75" customHeight="1" s="199"/>
    <row r="603" ht="15.75" customHeight="1" s="199"/>
    <row r="604" ht="15.75" customHeight="1" s="199"/>
    <row r="605" ht="15.75" customHeight="1" s="199"/>
    <row r="606" ht="15.75" customHeight="1" s="199"/>
    <row r="607" ht="15.75" customHeight="1" s="199"/>
    <row r="608" ht="15.75" customHeight="1" s="199"/>
    <row r="609" ht="15.75" customHeight="1" s="199"/>
    <row r="610" ht="15.75" customHeight="1" s="199"/>
    <row r="611" ht="15.75" customHeight="1" s="199"/>
    <row r="612" ht="15.75" customHeight="1" s="199"/>
    <row r="613" ht="15.75" customHeight="1" s="199"/>
    <row r="614" ht="15.75" customHeight="1" s="199"/>
    <row r="615" ht="15.75" customHeight="1" s="199"/>
    <row r="616" ht="15.75" customHeight="1" s="199"/>
    <row r="617" ht="15.75" customHeight="1" s="199"/>
    <row r="618" ht="15.75" customHeight="1" s="199"/>
    <row r="619" ht="15.75" customHeight="1" s="199"/>
    <row r="620" ht="15.75" customHeight="1" s="199"/>
    <row r="621" ht="15.75" customHeight="1" s="199"/>
    <row r="622" ht="15.75" customHeight="1" s="199"/>
    <row r="623" ht="15.75" customHeight="1" s="199"/>
    <row r="624" ht="15.75" customHeight="1" s="199"/>
    <row r="625" ht="15.75" customHeight="1" s="199"/>
    <row r="626" ht="15.75" customHeight="1" s="199"/>
    <row r="627" ht="15.75" customHeight="1" s="199"/>
    <row r="628" ht="15.75" customHeight="1" s="199"/>
    <row r="629" ht="15.75" customHeight="1" s="199"/>
    <row r="630" ht="15.75" customHeight="1" s="199"/>
    <row r="631" ht="15.75" customHeight="1" s="199"/>
    <row r="632" ht="15.75" customHeight="1" s="199"/>
    <row r="633" ht="15.75" customHeight="1" s="199"/>
    <row r="634" ht="15.75" customHeight="1" s="199"/>
    <row r="635" ht="15.75" customHeight="1" s="199"/>
    <row r="636" ht="15.75" customHeight="1" s="199"/>
    <row r="637" ht="15.75" customHeight="1" s="199"/>
    <row r="638" ht="15.75" customHeight="1" s="199"/>
    <row r="639" ht="15.75" customHeight="1" s="199"/>
    <row r="640" ht="15.75" customHeight="1" s="199"/>
    <row r="641" ht="15.75" customHeight="1" s="199"/>
    <row r="642" ht="15.75" customHeight="1" s="199"/>
    <row r="643" ht="15.75" customHeight="1" s="199"/>
    <row r="644" ht="15.75" customHeight="1" s="199"/>
    <row r="645" ht="15.75" customHeight="1" s="199"/>
    <row r="646" ht="15.75" customHeight="1" s="199"/>
    <row r="647" ht="15.75" customHeight="1" s="199"/>
    <row r="648" ht="15.75" customHeight="1" s="199"/>
    <row r="649" ht="15.75" customHeight="1" s="199"/>
    <row r="650" ht="15.75" customHeight="1" s="199"/>
    <row r="651" ht="15.75" customHeight="1" s="199"/>
    <row r="652" ht="15.75" customHeight="1" s="199"/>
    <row r="653" ht="15.75" customHeight="1" s="199"/>
    <row r="654" ht="15.75" customHeight="1" s="199"/>
    <row r="655" ht="15.75" customHeight="1" s="199"/>
    <row r="656" ht="15.75" customHeight="1" s="199"/>
    <row r="657" ht="15.75" customHeight="1" s="199"/>
    <row r="658" ht="15.75" customHeight="1" s="199"/>
    <row r="659" ht="15.75" customHeight="1" s="199"/>
    <row r="660" ht="15.75" customHeight="1" s="199"/>
    <row r="661" ht="15.75" customHeight="1" s="199"/>
    <row r="662" ht="15.75" customHeight="1" s="199"/>
    <row r="663" ht="15.75" customHeight="1" s="199"/>
    <row r="664" ht="15.75" customHeight="1" s="199"/>
    <row r="665" ht="15.75" customHeight="1" s="199"/>
    <row r="666" ht="15.75" customHeight="1" s="199"/>
    <row r="667" ht="15.75" customHeight="1" s="199"/>
    <row r="668" ht="15.75" customHeight="1" s="199"/>
    <row r="669" ht="15.75" customHeight="1" s="199"/>
    <row r="670" ht="15.75" customHeight="1" s="199"/>
    <row r="671" ht="15.75" customHeight="1" s="199"/>
    <row r="672" ht="15.75" customHeight="1" s="199"/>
    <row r="673" ht="15.75" customHeight="1" s="199"/>
    <row r="674" ht="15.75" customHeight="1" s="199"/>
    <row r="675" ht="15.75" customHeight="1" s="199"/>
    <row r="676" ht="15.75" customHeight="1" s="199"/>
    <row r="677" ht="15.75" customHeight="1" s="199"/>
    <row r="678" ht="15.75" customHeight="1" s="199"/>
    <row r="679" ht="15.75" customHeight="1" s="199"/>
    <row r="680" ht="15.75" customHeight="1" s="199"/>
    <row r="681" ht="15.75" customHeight="1" s="199"/>
    <row r="682" ht="15.75" customHeight="1" s="199"/>
    <row r="683" ht="15.75" customHeight="1" s="199"/>
    <row r="684" ht="15.75" customHeight="1" s="199"/>
    <row r="685" ht="15.75" customHeight="1" s="199"/>
    <row r="686" ht="15.75" customHeight="1" s="199"/>
    <row r="687" ht="15.75" customHeight="1" s="199"/>
    <row r="688" ht="15.75" customHeight="1" s="199"/>
    <row r="689" ht="15.75" customHeight="1" s="199"/>
    <row r="690" ht="15.75" customHeight="1" s="199"/>
    <row r="691" ht="15.75" customHeight="1" s="199"/>
    <row r="692" ht="15.75" customHeight="1" s="199"/>
    <row r="693" ht="15.75" customHeight="1" s="199"/>
    <row r="694" ht="15.75" customHeight="1" s="199"/>
    <row r="695" ht="15.75" customHeight="1" s="199"/>
    <row r="696" ht="15.75" customHeight="1" s="199"/>
    <row r="697" ht="15.75" customHeight="1" s="199"/>
    <row r="698" ht="15.75" customHeight="1" s="199"/>
    <row r="699" ht="15.75" customHeight="1" s="199"/>
    <row r="700" ht="15.75" customHeight="1" s="199"/>
    <row r="701" ht="15.75" customHeight="1" s="199"/>
    <row r="702" ht="15.75" customHeight="1" s="199"/>
    <row r="703" ht="15.75" customHeight="1" s="199"/>
    <row r="704" ht="15.75" customHeight="1" s="199"/>
    <row r="705" ht="15.75" customHeight="1" s="199"/>
    <row r="706" ht="15.75" customHeight="1" s="199"/>
    <row r="707" ht="15.75" customHeight="1" s="199"/>
    <row r="708" ht="15.75" customHeight="1" s="199"/>
    <row r="709" ht="15.75" customHeight="1" s="199"/>
    <row r="710" ht="15.75" customHeight="1" s="199"/>
    <row r="711" ht="15.75" customHeight="1" s="199"/>
    <row r="712" ht="15.75" customHeight="1" s="199"/>
    <row r="713" ht="15.75" customHeight="1" s="199"/>
    <row r="714" ht="15.75" customHeight="1" s="199"/>
    <row r="715" ht="15.75" customHeight="1" s="199"/>
    <row r="716" ht="15.75" customHeight="1" s="199"/>
    <row r="717" ht="15.75" customHeight="1" s="199"/>
    <row r="718" ht="15.75" customHeight="1" s="199"/>
    <row r="719" ht="15.75" customHeight="1" s="199"/>
    <row r="720" ht="15.75" customHeight="1" s="199"/>
    <row r="721" ht="15.75" customHeight="1" s="199"/>
    <row r="722" ht="15.75" customHeight="1" s="199"/>
    <row r="723" ht="15.75" customHeight="1" s="199"/>
    <row r="724" ht="15.75" customHeight="1" s="199"/>
    <row r="725" ht="15.75" customHeight="1" s="199"/>
    <row r="726" ht="15.75" customHeight="1" s="199"/>
    <row r="727" ht="15.75" customHeight="1" s="199"/>
    <row r="728" ht="15.75" customHeight="1" s="199"/>
    <row r="729" ht="15.75" customHeight="1" s="199"/>
    <row r="730" ht="15.75" customHeight="1" s="199"/>
    <row r="731" ht="15.75" customHeight="1" s="199"/>
    <row r="732" ht="15.75" customHeight="1" s="199"/>
    <row r="733" ht="15.75" customHeight="1" s="199"/>
    <row r="734" ht="15.75" customHeight="1" s="199"/>
    <row r="735" ht="15.75" customHeight="1" s="199"/>
    <row r="736" ht="15.75" customHeight="1" s="199"/>
    <row r="737" ht="15.75" customHeight="1" s="199"/>
    <row r="738" ht="15.75" customHeight="1" s="199"/>
    <row r="739" ht="15.75" customHeight="1" s="199"/>
    <row r="740" ht="15.75" customHeight="1" s="199"/>
    <row r="741" ht="15.75" customHeight="1" s="199"/>
    <row r="742" ht="15.75" customHeight="1" s="199"/>
    <row r="743" ht="15.75" customHeight="1" s="199"/>
    <row r="744" ht="15.75" customHeight="1" s="199"/>
    <row r="745" ht="15.75" customHeight="1" s="199"/>
    <row r="746" ht="15.75" customHeight="1" s="199"/>
    <row r="747" ht="15.75" customHeight="1" s="199"/>
    <row r="748" ht="15.75" customHeight="1" s="199"/>
    <row r="749" ht="15.75" customHeight="1" s="199"/>
    <row r="750" ht="15.75" customHeight="1" s="199"/>
    <row r="751" ht="15.75" customHeight="1" s="199"/>
    <row r="752" ht="15.75" customHeight="1" s="199"/>
    <row r="753" ht="15.75" customHeight="1" s="199"/>
    <row r="754" ht="15.75" customHeight="1" s="199"/>
    <row r="755" ht="15.75" customHeight="1" s="199"/>
    <row r="756" ht="15.75" customHeight="1" s="199"/>
    <row r="757" ht="15.75" customHeight="1" s="199"/>
    <row r="758" ht="15.75" customHeight="1" s="199"/>
    <row r="759" ht="15.75" customHeight="1" s="199"/>
    <row r="760" ht="15.75" customHeight="1" s="199"/>
    <row r="761" ht="15.75" customHeight="1" s="199"/>
    <row r="762" ht="15.75" customHeight="1" s="199"/>
    <row r="763" ht="15.75" customHeight="1" s="199"/>
    <row r="764" ht="15.75" customHeight="1" s="199"/>
    <row r="765" ht="15.75" customHeight="1" s="199"/>
    <row r="766" ht="15.75" customHeight="1" s="199"/>
    <row r="767" ht="15.75" customHeight="1" s="199"/>
    <row r="768" ht="15.75" customHeight="1" s="199"/>
    <row r="769" ht="15.75" customHeight="1" s="199"/>
    <row r="770" ht="15.75" customHeight="1" s="199"/>
    <row r="771" ht="15.75" customHeight="1" s="199"/>
    <row r="772" ht="15.75" customHeight="1" s="199"/>
    <row r="773" ht="15.75" customHeight="1" s="199"/>
    <row r="774" ht="15.75" customHeight="1" s="199"/>
    <row r="775" ht="15.75" customHeight="1" s="199"/>
    <row r="776" ht="15.75" customHeight="1" s="199"/>
    <row r="777" ht="15.75" customHeight="1" s="199"/>
    <row r="778" ht="15.75" customHeight="1" s="199"/>
    <row r="779" ht="15.75" customHeight="1" s="199"/>
    <row r="780" ht="15.75" customHeight="1" s="199"/>
    <row r="781" ht="15.75" customHeight="1" s="199"/>
    <row r="782" ht="15.75" customHeight="1" s="199"/>
    <row r="783" ht="15.75" customHeight="1" s="199"/>
    <row r="784" ht="15.75" customHeight="1" s="199"/>
    <row r="785" ht="15.75" customHeight="1" s="199"/>
    <row r="786" ht="15.75" customHeight="1" s="199"/>
    <row r="787" ht="15.75" customHeight="1" s="199"/>
    <row r="788" ht="15.75" customHeight="1" s="199"/>
    <row r="789" ht="15.75" customHeight="1" s="199"/>
    <row r="790" ht="15.75" customHeight="1" s="199"/>
    <row r="791" ht="15.75" customHeight="1" s="199"/>
    <row r="792" ht="15.75" customHeight="1" s="199"/>
    <row r="793" ht="15.75" customHeight="1" s="199"/>
    <row r="794" ht="15.75" customHeight="1" s="199"/>
    <row r="795" ht="15.75" customHeight="1" s="199"/>
    <row r="796" ht="15.75" customHeight="1" s="199"/>
    <row r="797" ht="15.75" customHeight="1" s="199"/>
    <row r="798" ht="15.75" customHeight="1" s="199"/>
    <row r="799" ht="15.75" customHeight="1" s="199"/>
    <row r="800" ht="15.75" customHeight="1" s="199"/>
    <row r="801" ht="15.75" customHeight="1" s="199"/>
    <row r="802" ht="15.75" customHeight="1" s="199"/>
    <row r="803" ht="15.75" customHeight="1" s="199"/>
    <row r="804" ht="15.75" customHeight="1" s="199"/>
    <row r="805" ht="15.75" customHeight="1" s="199"/>
    <row r="806" ht="15.75" customHeight="1" s="199"/>
    <row r="807" ht="15.75" customHeight="1" s="199"/>
    <row r="808" ht="15.75" customHeight="1" s="199"/>
    <row r="809" ht="15.75" customHeight="1" s="199"/>
    <row r="810" ht="15.75" customHeight="1" s="199"/>
    <row r="811" ht="15.75" customHeight="1" s="199"/>
    <row r="812" ht="15.75" customHeight="1" s="199"/>
    <row r="813" ht="15.75" customHeight="1" s="199"/>
    <row r="814" ht="15.75" customHeight="1" s="199"/>
    <row r="815" ht="15.75" customHeight="1" s="199"/>
    <row r="816" ht="15.75" customHeight="1" s="199"/>
    <row r="817" ht="15.75" customHeight="1" s="199"/>
    <row r="818" ht="15.75" customHeight="1" s="199"/>
    <row r="819" ht="15.75" customHeight="1" s="199"/>
    <row r="820" ht="15.75" customHeight="1" s="199"/>
    <row r="821" ht="15.75" customHeight="1" s="199"/>
    <row r="822" ht="15.75" customHeight="1" s="199"/>
    <row r="823" ht="15.75" customHeight="1" s="199"/>
    <row r="824" ht="15.75" customHeight="1" s="199"/>
    <row r="825" ht="15.75" customHeight="1" s="199"/>
    <row r="826" ht="15.75" customHeight="1" s="199"/>
    <row r="827" ht="15.75" customHeight="1" s="199"/>
    <row r="828" ht="15.75" customHeight="1" s="199"/>
    <row r="829" ht="15.75" customHeight="1" s="199"/>
    <row r="830" ht="15.75" customHeight="1" s="199"/>
    <row r="831" ht="15.75" customHeight="1" s="199"/>
    <row r="832" ht="15.75" customHeight="1" s="199"/>
    <row r="833" ht="15.75" customHeight="1" s="199"/>
    <row r="834" ht="15.75" customHeight="1" s="199"/>
    <row r="835" ht="15.75" customHeight="1" s="199"/>
    <row r="836" ht="15.75" customHeight="1" s="199"/>
    <row r="837" ht="15.75" customHeight="1" s="199"/>
    <row r="838" ht="15.75" customHeight="1" s="199"/>
    <row r="839" ht="15.75" customHeight="1" s="199"/>
    <row r="840" ht="15.75" customHeight="1" s="199"/>
    <row r="841" ht="15.75" customHeight="1" s="199"/>
    <row r="842" ht="15.75" customHeight="1" s="199"/>
    <row r="843" ht="15.75" customHeight="1" s="199"/>
    <row r="844" ht="15.75" customHeight="1" s="199"/>
    <row r="845" ht="15.75" customHeight="1" s="199"/>
    <row r="846" ht="15.75" customHeight="1" s="199"/>
    <row r="847" ht="15.75" customHeight="1" s="199"/>
    <row r="848" ht="15.75" customHeight="1" s="199"/>
    <row r="849" ht="15.75" customHeight="1" s="199"/>
    <row r="850" ht="15.75" customHeight="1" s="199"/>
    <row r="851" ht="15.75" customHeight="1" s="199"/>
    <row r="852" ht="15.75" customHeight="1" s="199"/>
    <row r="853" ht="15.75" customHeight="1" s="199"/>
    <row r="854" ht="15.75" customHeight="1" s="199"/>
    <row r="855" ht="15.75" customHeight="1" s="199"/>
    <row r="856" ht="15.75" customHeight="1" s="199"/>
    <row r="857" ht="15.75" customHeight="1" s="199"/>
    <row r="858" ht="15.75" customHeight="1" s="199"/>
    <row r="859" ht="15.75" customHeight="1" s="199"/>
    <row r="860" ht="15.75" customHeight="1" s="199"/>
    <row r="861" ht="15.75" customHeight="1" s="199"/>
    <row r="862" ht="15.75" customHeight="1" s="199"/>
    <row r="863" ht="15.75" customHeight="1" s="199"/>
    <row r="864" ht="15.75" customHeight="1" s="199"/>
    <row r="865" ht="15.75" customHeight="1" s="199"/>
    <row r="866" ht="15.75" customHeight="1" s="199"/>
    <row r="867" ht="15.75" customHeight="1" s="199"/>
    <row r="868" ht="15.75" customHeight="1" s="199"/>
    <row r="869" ht="15.75" customHeight="1" s="199"/>
    <row r="870" ht="15.75" customHeight="1" s="199"/>
    <row r="871" ht="15.75" customHeight="1" s="199"/>
    <row r="872" ht="15.75" customHeight="1" s="199"/>
    <row r="873" ht="15.75" customHeight="1" s="199"/>
    <row r="874" ht="15.75" customHeight="1" s="199"/>
    <row r="875" ht="15.75" customHeight="1" s="199"/>
    <row r="876" ht="15.75" customHeight="1" s="199"/>
    <row r="877" ht="15.75" customHeight="1" s="199"/>
    <row r="878" ht="15.75" customHeight="1" s="199"/>
    <row r="879" ht="15.75" customHeight="1" s="199"/>
    <row r="880" ht="15.75" customHeight="1" s="199"/>
    <row r="881" ht="15.75" customHeight="1" s="199"/>
    <row r="882" ht="15.75" customHeight="1" s="199"/>
    <row r="883" ht="15.75" customHeight="1" s="199"/>
    <row r="884" ht="15.75" customHeight="1" s="199"/>
    <row r="885" ht="15.75" customHeight="1" s="199"/>
    <row r="886" ht="15.75" customHeight="1" s="199"/>
    <row r="887" ht="15.75" customHeight="1" s="199"/>
    <row r="888" ht="15.75" customHeight="1" s="199"/>
    <row r="889" ht="15.75" customHeight="1" s="199"/>
    <row r="890" ht="15.75" customHeight="1" s="199"/>
    <row r="891" ht="15.75" customHeight="1" s="199"/>
    <row r="892" ht="15.75" customHeight="1" s="199"/>
    <row r="893" ht="15.75" customHeight="1" s="199"/>
    <row r="894" ht="15.75" customHeight="1" s="199"/>
    <row r="895" ht="15.75" customHeight="1" s="199"/>
    <row r="896" ht="15.75" customHeight="1" s="199"/>
    <row r="897" ht="15.75" customHeight="1" s="199"/>
    <row r="898" ht="15.75" customHeight="1" s="199"/>
    <row r="899" ht="15.75" customHeight="1" s="199"/>
    <row r="900" ht="15.75" customHeight="1" s="199"/>
    <row r="901" ht="15.75" customHeight="1" s="199"/>
    <row r="902" ht="15.75" customHeight="1" s="199"/>
    <row r="903" ht="15.75" customHeight="1" s="199"/>
    <row r="904" ht="15.75" customHeight="1" s="199"/>
    <row r="905" ht="15.75" customHeight="1" s="199"/>
    <row r="906" ht="15.75" customHeight="1" s="199"/>
    <row r="907" ht="15.75" customHeight="1" s="199"/>
    <row r="908" ht="15.75" customHeight="1" s="199"/>
    <row r="909" ht="15.75" customHeight="1" s="199"/>
    <row r="910" ht="15.75" customHeight="1" s="199"/>
    <row r="911" ht="15.75" customHeight="1" s="199"/>
    <row r="912" ht="15.75" customHeight="1" s="199"/>
    <row r="913" ht="15.75" customHeight="1" s="199"/>
    <row r="914" ht="15.75" customHeight="1" s="199"/>
    <row r="915" ht="15.75" customHeight="1" s="199"/>
    <row r="916" ht="15.75" customHeight="1" s="199"/>
    <row r="917" ht="15.75" customHeight="1" s="199"/>
    <row r="918" ht="15.75" customHeight="1" s="199"/>
    <row r="919" ht="15.75" customHeight="1" s="199"/>
    <row r="920" ht="15.75" customHeight="1" s="199"/>
    <row r="921" ht="15.75" customHeight="1" s="199"/>
    <row r="922" ht="15.75" customHeight="1" s="199"/>
    <row r="923" ht="15.75" customHeight="1" s="199"/>
    <row r="924" ht="15.75" customHeight="1" s="199"/>
    <row r="925" ht="15.75" customHeight="1" s="199"/>
    <row r="926" ht="15.75" customHeight="1" s="199"/>
    <row r="927" ht="15.75" customHeight="1" s="199"/>
    <row r="928" ht="15.75" customHeight="1" s="199"/>
    <row r="929" ht="15.75" customHeight="1" s="199"/>
    <row r="930" ht="15.75" customHeight="1" s="199"/>
    <row r="931" ht="15.75" customHeight="1" s="199"/>
    <row r="932" ht="15.75" customHeight="1" s="199"/>
    <row r="933" ht="15.75" customHeight="1" s="199"/>
    <row r="934" ht="15.75" customHeight="1" s="199"/>
    <row r="935" ht="15.75" customHeight="1" s="199"/>
    <row r="936" ht="15.75" customHeight="1" s="199"/>
    <row r="937" ht="15.75" customHeight="1" s="199"/>
    <row r="938" ht="15.75" customHeight="1" s="199"/>
    <row r="939" ht="15.75" customHeight="1" s="199"/>
    <row r="940" ht="15.75" customHeight="1" s="199"/>
    <row r="941" ht="15.75" customHeight="1" s="199"/>
    <row r="942" ht="15.75" customHeight="1" s="199"/>
    <row r="943" ht="15.75" customHeight="1" s="199"/>
    <row r="944" ht="15.75" customHeight="1" s="199"/>
    <row r="945" ht="15.75" customHeight="1" s="199"/>
    <row r="946" ht="15.75" customHeight="1" s="199"/>
    <row r="947" ht="15.75" customHeight="1" s="199"/>
    <row r="948" ht="15.75" customHeight="1" s="199"/>
    <row r="949" ht="15.75" customHeight="1" s="199"/>
    <row r="950" ht="15.75" customHeight="1" s="199"/>
    <row r="951" ht="15.75" customHeight="1" s="199"/>
    <row r="952" ht="15.75" customHeight="1" s="199"/>
    <row r="953" ht="15.75" customHeight="1" s="199"/>
    <row r="954" ht="15.75" customHeight="1" s="199"/>
    <row r="955" ht="15.75" customHeight="1" s="199"/>
    <row r="956" ht="15.75" customHeight="1" s="199"/>
    <row r="957" ht="15.75" customHeight="1" s="199"/>
    <row r="958" ht="15.75" customHeight="1" s="199"/>
    <row r="959" ht="15.75" customHeight="1" s="199"/>
    <row r="960" ht="15.75" customHeight="1" s="199"/>
    <row r="961" ht="15.75" customHeight="1" s="199"/>
    <row r="962" ht="15.75" customHeight="1" s="199"/>
    <row r="963" ht="15.75" customHeight="1" s="199"/>
    <row r="964" ht="15.75" customHeight="1" s="199"/>
    <row r="965" ht="15.75" customHeight="1" s="199"/>
    <row r="966" ht="15.75" customHeight="1" s="199"/>
    <row r="967" ht="15.75" customHeight="1" s="199"/>
    <row r="968" ht="15.75" customHeight="1" s="199"/>
    <row r="969" ht="15.75" customHeight="1" s="199"/>
    <row r="970" ht="15.75" customHeight="1" s="199"/>
    <row r="971" ht="15.75" customHeight="1" s="199"/>
    <row r="972" ht="15.75" customHeight="1" s="199"/>
    <row r="973" ht="15.75" customHeight="1" s="199"/>
    <row r="974" ht="15.75" customHeight="1" s="199"/>
    <row r="975" ht="15.75" customHeight="1" s="199"/>
    <row r="976" ht="15.75" customHeight="1" s="199"/>
    <row r="977" ht="15.75" customHeight="1" s="199"/>
    <row r="978" ht="15.75" customHeight="1" s="199"/>
    <row r="979" ht="15.75" customHeight="1" s="199"/>
    <row r="980" ht="15.75" customHeight="1" s="199"/>
    <row r="981" ht="15.75" customHeight="1" s="199"/>
    <row r="982" ht="15.75" customHeight="1" s="199"/>
    <row r="983" ht="15.75" customHeight="1" s="199"/>
    <row r="984" ht="15.75" customHeight="1" s="199"/>
    <row r="985" ht="15.75" customHeight="1" s="199"/>
    <row r="986" ht="15.75" customHeight="1" s="199"/>
    <row r="987" ht="15.75" customHeight="1" s="199"/>
    <row r="988" ht="15.75" customHeight="1" s="199"/>
    <row r="989" ht="15.75" customHeight="1" s="199"/>
    <row r="990" ht="15.75" customHeight="1" s="199"/>
    <row r="991" ht="15.75" customHeight="1" s="199"/>
    <row r="992" ht="15.75" customHeight="1" s="199"/>
    <row r="993" ht="15.75" customHeight="1" s="199"/>
    <row r="994" ht="15.75" customHeight="1" s="199"/>
    <row r="995" ht="15.75" customHeight="1" s="199"/>
    <row r="996" ht="15.75" customHeight="1" s="199"/>
    <row r="997" ht="15.75" customHeight="1" s="199"/>
    <row r="998" ht="15.75" customHeight="1" s="199"/>
    <row r="999" ht="15.75" customHeight="1" s="199"/>
    <row r="1000" ht="15.75" customHeight="1" s="199"/>
  </sheetData>
  <autoFilter ref="$A$4:$I$47"/>
  <mergeCells count="2">
    <mergeCell ref="H3:J3"/>
    <mergeCell ref="A3:G3"/>
  </mergeCells>
  <pageMargins left="0.7086614173228347" right="0.7086614173228347" top="0.7874015748031497" bottom="0.7874015748031497" header="0" footer="0"/>
  <pageSetup orientation="portrait" paperSize="9" fitToHeight="0"/>
  <headerFooter>
    <oddHeader/>
    <oddFooter>&amp;C&amp;P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45"/>
  <sheetViews>
    <sheetView showGridLines="0" workbookViewId="0">
      <selection activeCell="A1" sqref="A1"/>
    </sheetView>
  </sheetViews>
  <sheetFormatPr baseColWidth="8" defaultColWidth="12.63" defaultRowHeight="15" customHeight="1"/>
  <cols>
    <col width="4.13" customWidth="1" style="199" min="1" max="1"/>
    <col width="44.38" customWidth="1" style="199" min="2" max="2"/>
    <col width="13.13" customWidth="1" style="199" min="3" max="3"/>
    <col width="11.75" customWidth="1" style="199" min="4" max="4"/>
    <col width="11.5" customWidth="1" style="199" min="5" max="5"/>
    <col width="11.13" customWidth="1" style="199" min="6" max="6"/>
    <col width="23.88" customWidth="1" style="199" min="7" max="7"/>
    <col width="12" customWidth="1" style="199" min="8" max="9"/>
    <col width="26.5" customWidth="1" style="199" min="10" max="10"/>
    <col width="7" customWidth="1" style="199" min="11" max="13"/>
    <col width="11.13" customWidth="1" style="199" min="14" max="26"/>
  </cols>
  <sheetData>
    <row r="1" ht="24" customHeight="1" s="199">
      <c r="A1" s="111" t="inlineStr">
        <is>
          <t xml:space="preserve"> PODROBNÝ ROZPOČET PROJEKTU 2028</t>
        </is>
      </c>
      <c r="B1" s="112" t="n"/>
      <c r="C1" s="112" t="n"/>
      <c r="D1" s="112" t="n"/>
      <c r="E1" s="112" t="n"/>
      <c r="F1" s="112" t="n"/>
      <c r="G1" s="112" t="n"/>
      <c r="H1" s="112" t="n"/>
      <c r="I1" s="113" t="n"/>
      <c r="J1" s="113" t="n"/>
      <c r="K1" s="113" t="n"/>
    </row>
    <row r="2" ht="24.75" customHeight="1" s="199">
      <c r="A2" s="114" t="n"/>
      <c r="B2" s="115" t="n"/>
      <c r="C2" s="115" t="n"/>
      <c r="D2" s="115" t="n"/>
      <c r="E2" s="115" t="n"/>
      <c r="F2" s="115" t="n"/>
      <c r="G2" s="115" t="n"/>
      <c r="H2" s="115" t="n"/>
      <c r="I2" s="115" t="n"/>
      <c r="J2" s="115" t="n"/>
      <c r="K2" s="113" t="n"/>
      <c r="L2" s="113" t="n"/>
      <c r="M2" s="113" t="n"/>
    </row>
    <row r="3" ht="13.5" customHeight="1" s="199">
      <c r="A3" s="259" t="inlineStr">
        <is>
          <t xml:space="preserve">ROZPOČET
</t>
        </is>
      </c>
      <c r="B3" s="255" t="n"/>
      <c r="C3" s="255" t="n"/>
      <c r="D3" s="255" t="n"/>
      <c r="E3" s="255" t="n"/>
      <c r="F3" s="255" t="n"/>
      <c r="G3" s="256" t="n"/>
      <c r="H3" s="260" t="inlineStr">
        <is>
          <t xml:space="preserve">ZDROJE FINANCOVÁNÍ
</t>
        </is>
      </c>
      <c r="I3" s="255" t="n"/>
      <c r="J3" s="261" t="n"/>
      <c r="K3" s="113" t="n"/>
      <c r="L3" s="113" t="n"/>
      <c r="M3" s="113" t="n"/>
    </row>
    <row r="4" ht="48.75" customHeight="1" s="199">
      <c r="A4" s="119" t="n"/>
      <c r="B4" s="120" t="n"/>
      <c r="C4" s="120" t="inlineStr">
        <is>
          <t>jednotka (název)</t>
        </is>
      </c>
      <c r="D4" s="120" t="inlineStr">
        <is>
          <t>počet jednotek</t>
        </is>
      </c>
      <c r="E4" s="121" t="inlineStr">
        <is>
          <t>jednotková cena včetně DPH</t>
        </is>
      </c>
      <c r="F4" s="122" t="inlineStr">
        <is>
          <t>Celkem</t>
        </is>
      </c>
      <c r="G4" s="123" t="inlineStr">
        <is>
          <t>Povinný komentář (odůvodnění)</t>
        </is>
      </c>
      <c r="H4" s="124" t="inlineStr">
        <is>
          <t xml:space="preserve">ČB28 </t>
        </is>
      </c>
      <c r="I4" s="120" t="inlineStr">
        <is>
          <t>DALŠÍ ZDROJE</t>
        </is>
      </c>
      <c r="J4" s="125" t="inlineStr">
        <is>
          <t>KOMENTÁŘ</t>
        </is>
      </c>
    </row>
    <row r="5" ht="13.5" customHeight="1" s="199">
      <c r="A5" s="126" t="inlineStr">
        <is>
          <t>1.</t>
        </is>
      </c>
      <c r="B5" s="127" t="inlineStr">
        <is>
          <t>Náklady na realizační tým - zaměstnanci (mzdy, platy a OON, DPP, DPČ, vč. odvodů)</t>
        </is>
      </c>
      <c r="C5" s="128" t="inlineStr">
        <is>
          <t>např. hodina, měsíc</t>
        </is>
      </c>
      <c r="D5" s="129" t="n"/>
      <c r="E5" s="129" t="n"/>
      <c r="F5" s="129">
        <f>SUM(F6:F9)</f>
        <v/>
      </c>
      <c r="G5" s="130" t="n"/>
      <c r="H5" s="129">
        <f>SUM(H6:H9)</f>
        <v/>
      </c>
      <c r="I5" s="129">
        <f>SUM(I6:I9)</f>
        <v/>
      </c>
      <c r="J5" s="131" t="n"/>
    </row>
    <row r="6" ht="13.5" customHeight="1" s="199">
      <c r="A6" s="132">
        <f>"1."&amp;(ROW()-ROW(A$5))</f>
        <v/>
      </c>
      <c r="B6" s="133" t="inlineStr">
        <is>
          <t>zaměstnanci</t>
        </is>
      </c>
      <c r="C6" s="134" t="n"/>
      <c r="D6" s="134" t="n"/>
      <c r="E6" s="134" t="n"/>
      <c r="F6" s="135">
        <f>SUM(D6*E6)</f>
        <v/>
      </c>
      <c r="G6" s="136" t="n"/>
      <c r="H6" s="137" t="n"/>
      <c r="I6" s="138" t="n"/>
      <c r="J6" s="139" t="n"/>
    </row>
    <row r="7" ht="13.5" customHeight="1" s="199">
      <c r="A7" s="132">
        <f>"1."&amp;(ROW()-ROW(A$5))</f>
        <v/>
      </c>
      <c r="B7" s="133" t="inlineStr">
        <is>
          <t xml:space="preserve">zaměstnanci </t>
        </is>
      </c>
      <c r="C7" s="134" t="n"/>
      <c r="D7" s="135" t="n"/>
      <c r="E7" s="134" t="n"/>
      <c r="F7" s="135">
        <f>SUM(D7*E7)</f>
        <v/>
      </c>
      <c r="G7" s="140" t="n"/>
      <c r="H7" s="141" t="n"/>
      <c r="I7" s="138" t="n"/>
      <c r="J7" s="139" t="n"/>
    </row>
    <row r="8" ht="13.5" customHeight="1" s="199">
      <c r="A8" s="132">
        <f>"1."&amp;(ROW()-ROW(A$5))</f>
        <v/>
      </c>
      <c r="B8" s="142" t="inlineStr">
        <is>
          <t>DPP / DPČ</t>
        </is>
      </c>
      <c r="C8" s="134" t="n"/>
      <c r="D8" s="135" t="n"/>
      <c r="E8" s="134" t="n"/>
      <c r="F8" s="135">
        <f>SUM(D8*E8)</f>
        <v/>
      </c>
      <c r="G8" s="140" t="n"/>
      <c r="H8" s="141" t="n"/>
      <c r="I8" s="138" t="n"/>
      <c r="J8" s="139" t="n"/>
    </row>
    <row r="9" ht="13.5" customHeight="1" s="199">
      <c r="A9" s="132">
        <f>"1."&amp;(ROW()-ROW(A$5))</f>
        <v/>
      </c>
      <c r="B9" s="142" t="inlineStr">
        <is>
          <t>DPP / DPČ</t>
        </is>
      </c>
      <c r="C9" s="135" t="n"/>
      <c r="D9" s="135" t="n"/>
      <c r="E9" s="134" t="n"/>
      <c r="F9" s="135">
        <f>SUM(D9*E9)</f>
        <v/>
      </c>
      <c r="G9" s="140" t="n"/>
      <c r="H9" s="141" t="n"/>
      <c r="I9" s="138" t="n"/>
      <c r="J9" s="139" t="n"/>
    </row>
    <row r="10" ht="13.5" customHeight="1" s="199">
      <c r="A10" s="143" t="inlineStr">
        <is>
          <t>2.</t>
        </is>
      </c>
      <c r="B10" s="127" t="inlineStr">
        <is>
          <t>Náklady na realizační tým - externí spolupracovníci (kurátor, projektový manažer, produkční, experti... - faktury, smlouvy o dílo)</t>
        </is>
      </c>
      <c r="C10" s="128" t="inlineStr">
        <is>
          <t>např. hodina, měsíc</t>
        </is>
      </c>
      <c r="D10" s="129" t="n"/>
      <c r="E10" s="129" t="n"/>
      <c r="F10" s="129">
        <f>SUM(F11:F14)</f>
        <v/>
      </c>
      <c r="G10" s="130" t="n"/>
      <c r="H10" s="129">
        <f>SUM(H11:H14)</f>
        <v/>
      </c>
      <c r="I10" s="129">
        <f>SUM(I11:I14)</f>
        <v/>
      </c>
      <c r="J10" s="131" t="n"/>
    </row>
    <row r="11" ht="13.5" customHeight="1" s="199">
      <c r="A11" s="132">
        <f>$A$10&amp;(ROW()-ROW(A$10))</f>
        <v/>
      </c>
      <c r="B11" s="144" t="n"/>
      <c r="C11" s="145" t="n"/>
      <c r="D11" s="145" t="n"/>
      <c r="E11" s="145" t="n"/>
      <c r="F11" s="135">
        <f>SUM(D11*E11)</f>
        <v/>
      </c>
      <c r="G11" s="146" t="n"/>
      <c r="H11" s="137" t="n"/>
      <c r="I11" s="138" t="n"/>
      <c r="J11" s="139" t="n"/>
    </row>
    <row r="12" ht="13.5" customHeight="1" s="199">
      <c r="A12" s="132">
        <f>$A$10&amp;(ROW()-ROW(A$10))</f>
        <v/>
      </c>
      <c r="B12" s="144" t="n"/>
      <c r="C12" s="145" t="n"/>
      <c r="D12" s="145" t="n"/>
      <c r="E12" s="145" t="n"/>
      <c r="F12" s="135">
        <f>SUM(D12*E12)</f>
        <v/>
      </c>
      <c r="G12" s="146" t="n"/>
      <c r="H12" s="141" t="n"/>
      <c r="I12" s="147" t="n"/>
      <c r="J12" s="148" t="n"/>
    </row>
    <row r="13" ht="13.5" customHeight="1" s="199">
      <c r="A13" s="132">
        <f>$A$10&amp;(ROW()-ROW(A$10))</f>
        <v/>
      </c>
      <c r="B13" s="142" t="n"/>
      <c r="C13" s="135" t="n"/>
      <c r="D13" s="135" t="n"/>
      <c r="E13" s="135" t="n"/>
      <c r="F13" s="135">
        <f>SUM(D13*E13)</f>
        <v/>
      </c>
      <c r="G13" s="140" t="n"/>
      <c r="H13" s="141" t="n"/>
      <c r="I13" s="147" t="n"/>
      <c r="J13" s="148" t="n"/>
    </row>
    <row r="14" ht="13.5" customHeight="1" s="199">
      <c r="A14" s="132">
        <f>$A$10&amp;(ROW()-ROW(A$10))</f>
        <v/>
      </c>
      <c r="B14" s="142" t="n"/>
      <c r="C14" s="135" t="n"/>
      <c r="D14" s="135" t="n"/>
      <c r="E14" s="135" t="n"/>
      <c r="F14" s="135">
        <f>SUM(D14*E14)</f>
        <v/>
      </c>
      <c r="G14" s="140" t="n"/>
      <c r="H14" s="141" t="n"/>
      <c r="I14" s="147" t="n"/>
      <c r="J14" s="148" t="n"/>
    </row>
    <row r="15" ht="13.5" customHeight="1" s="199">
      <c r="A15" s="126" t="inlineStr">
        <is>
          <t>3.</t>
        </is>
      </c>
      <c r="B15" s="127" t="inlineStr">
        <is>
          <t>Náklady na programovou náplň projektu (vystupující, umělecké honoráře, přednášející, moderace, lektoři - faktury, smlouvy o dílo)</t>
        </is>
      </c>
      <c r="C15" s="128" t="inlineStr">
        <is>
          <t>např. hodina, měsíc</t>
        </is>
      </c>
      <c r="D15" s="129" t="n"/>
      <c r="E15" s="129" t="n"/>
      <c r="F15" s="129">
        <f>SUM(F16:F20)</f>
        <v/>
      </c>
      <c r="G15" s="130" t="n"/>
      <c r="H15" s="129">
        <f>SUM(H16:H20)</f>
        <v/>
      </c>
      <c r="I15" s="129">
        <f>SUM(I16:I20)</f>
        <v/>
      </c>
      <c r="J15" s="131" t="n"/>
    </row>
    <row r="16" ht="13.5" customHeight="1" s="199">
      <c r="A16" s="132">
        <f>$A$15&amp;(ROW()-ROW(A$15))</f>
        <v/>
      </c>
      <c r="B16" s="133" t="n"/>
      <c r="C16" s="138" t="n"/>
      <c r="D16" s="134" t="n"/>
      <c r="E16" s="134" t="n"/>
      <c r="F16" s="135">
        <f>SUM(D16*E16)</f>
        <v/>
      </c>
      <c r="G16" s="149" t="n"/>
      <c r="H16" s="141" t="n"/>
      <c r="I16" s="150" t="n"/>
      <c r="J16" s="151" t="n"/>
    </row>
    <row r="17" ht="13.5" customHeight="1" s="199">
      <c r="A17" s="132">
        <f>$A$15&amp;(ROW()-ROW(A$15))</f>
        <v/>
      </c>
      <c r="B17" s="142" t="n"/>
      <c r="C17" s="138" t="n"/>
      <c r="D17" s="135" t="n"/>
      <c r="E17" s="135" t="n"/>
      <c r="F17" s="135">
        <f>SUM(D17*E17)</f>
        <v/>
      </c>
      <c r="G17" s="149" t="n"/>
      <c r="H17" s="141" t="n"/>
      <c r="I17" s="150" t="n"/>
      <c r="J17" s="151" t="n"/>
    </row>
    <row r="18" ht="13.5" customHeight="1" s="199">
      <c r="A18" s="132">
        <f>$A$15&amp;(ROW()-ROW(A$15))</f>
        <v/>
      </c>
      <c r="B18" s="142" t="n"/>
      <c r="C18" s="147" t="n"/>
      <c r="D18" s="135" t="n"/>
      <c r="E18" s="135" t="n"/>
      <c r="F18" s="135">
        <f>SUM(D18*E18)</f>
        <v/>
      </c>
      <c r="G18" s="140" t="n"/>
      <c r="H18" s="141" t="n"/>
      <c r="I18" s="147" t="n"/>
      <c r="J18" s="148" t="n"/>
    </row>
    <row r="19" ht="13.5" customHeight="1" s="199">
      <c r="A19" s="132">
        <f>$A$15&amp;(ROW()-ROW(A$15))</f>
        <v/>
      </c>
      <c r="B19" s="142" t="n"/>
      <c r="C19" s="147" t="n"/>
      <c r="D19" s="135" t="n"/>
      <c r="E19" s="135" t="n"/>
      <c r="F19" s="135">
        <f>SUM(D19*E19)</f>
        <v/>
      </c>
      <c r="G19" s="140" t="n"/>
      <c r="H19" s="141" t="n"/>
      <c r="I19" s="152" t="n"/>
      <c r="J19" s="153" t="n"/>
    </row>
    <row r="20" ht="13.5" customHeight="1" s="199">
      <c r="A20" s="132">
        <f>$A$15&amp;(ROW()-ROW(A$15))</f>
        <v/>
      </c>
      <c r="B20" s="142" t="n"/>
      <c r="C20" s="147" t="n"/>
      <c r="D20" s="135" t="n"/>
      <c r="E20" s="135" t="n"/>
      <c r="F20" s="135">
        <f>SUM(D20*E20)</f>
        <v/>
      </c>
      <c r="G20" s="140" t="n"/>
      <c r="H20" s="141" t="n"/>
      <c r="I20" s="147" t="n"/>
      <c r="J20" s="148" t="n"/>
    </row>
    <row r="21" ht="13.5" customHeight="1" s="199">
      <c r="A21" s="126" t="inlineStr">
        <is>
          <t>4.</t>
        </is>
      </c>
      <c r="B21" s="127" t="inlineStr">
        <is>
          <t>Náklady na produkci výstupů projektu – služby (pronájmy, technické zajištění, tlumočení, catering, přeprava mobiliáře apod.)</t>
        </is>
      </c>
      <c r="C21" s="128" t="inlineStr">
        <is>
          <t>např. hodina, měsíc</t>
        </is>
      </c>
      <c r="D21" s="129" t="n"/>
      <c r="E21" s="129" t="n"/>
      <c r="F21" s="129">
        <f>SUM(F22:F27)</f>
        <v/>
      </c>
      <c r="G21" s="130" t="n"/>
      <c r="H21" s="129">
        <f>SUM(H22:H27)</f>
        <v/>
      </c>
      <c r="I21" s="129">
        <f>SUM(I22:I27)</f>
        <v/>
      </c>
      <c r="J21" s="131" t="n"/>
    </row>
    <row r="22" ht="45.75" customHeight="1" s="199">
      <c r="A22" s="132">
        <f>$A$21&amp;(ROW()-ROW(A$21))</f>
        <v/>
      </c>
      <c r="B22" s="133" t="n"/>
      <c r="C22" s="134" t="n"/>
      <c r="D22" s="134" t="n"/>
      <c r="E22" s="134" t="n"/>
      <c r="F22" s="135">
        <f>SUM(D22*E22)</f>
        <v/>
      </c>
      <c r="G22" s="140" t="n"/>
      <c r="H22" s="141" t="n"/>
      <c r="I22" s="150" t="n"/>
      <c r="J22" s="151" t="n"/>
    </row>
    <row r="23" ht="13.5" customHeight="1" s="199">
      <c r="A23" s="132">
        <f>$A$21&amp;(ROW()-ROW(A$21))</f>
        <v/>
      </c>
      <c r="B23" s="142" t="n"/>
      <c r="C23" s="135" t="n"/>
      <c r="D23" s="135" t="n"/>
      <c r="E23" s="135" t="n"/>
      <c r="F23" s="135">
        <f>SUM(D23*E23)</f>
        <v/>
      </c>
      <c r="G23" s="140" t="n"/>
      <c r="H23" s="141" t="n"/>
      <c r="I23" s="147" t="n"/>
      <c r="J23" s="148" t="n"/>
    </row>
    <row r="24" ht="13.5" customHeight="1" s="199">
      <c r="A24" s="132">
        <f>$A$21&amp;(ROW()-ROW(A$21))</f>
        <v/>
      </c>
      <c r="B24" s="142" t="n"/>
      <c r="C24" s="135" t="n"/>
      <c r="D24" s="135" t="n"/>
      <c r="E24" s="135" t="n"/>
      <c r="F24" s="135">
        <f>SUM(D24*E24)</f>
        <v/>
      </c>
      <c r="G24" s="140" t="n"/>
      <c r="H24" s="141" t="n"/>
      <c r="I24" s="147" t="n"/>
      <c r="J24" s="148" t="n"/>
    </row>
    <row r="25" ht="13.5" customHeight="1" s="199">
      <c r="A25" s="132">
        <f>$A$21&amp;(ROW()-ROW(A$21))</f>
        <v/>
      </c>
      <c r="B25" s="142" t="n"/>
      <c r="C25" s="135" t="n"/>
      <c r="D25" s="135" t="n"/>
      <c r="E25" s="135" t="n"/>
      <c r="F25" s="135">
        <f>SUM(D25*E25)</f>
        <v/>
      </c>
      <c r="G25" s="140" t="n"/>
      <c r="H25" s="141" t="n"/>
      <c r="I25" s="147" t="n"/>
      <c r="J25" s="148" t="n"/>
    </row>
    <row r="26" ht="13.5" customHeight="1" s="199">
      <c r="A26" s="132">
        <f>$A$21&amp;(ROW()-ROW(A$21))</f>
        <v/>
      </c>
      <c r="B26" s="142" t="n"/>
      <c r="C26" s="135" t="n"/>
      <c r="D26" s="135" t="n"/>
      <c r="E26" s="135" t="n"/>
      <c r="F26" s="135">
        <f>SUM(D26*E26)</f>
        <v/>
      </c>
      <c r="G26" s="140" t="n"/>
      <c r="H26" s="141" t="n"/>
      <c r="I26" s="147" t="n"/>
      <c r="J26" s="148" t="n"/>
    </row>
    <row r="27" ht="13.5" customHeight="1" s="199">
      <c r="A27" s="132">
        <f>$A$21&amp;(ROW()-ROW(A$21))</f>
        <v/>
      </c>
      <c r="B27" s="142" t="n"/>
      <c r="C27" s="135" t="n"/>
      <c r="D27" s="135" t="n"/>
      <c r="E27" s="135" t="n"/>
      <c r="F27" s="135">
        <f>SUM(D27*E27)</f>
        <v/>
      </c>
      <c r="G27" s="140" t="n"/>
      <c r="H27" s="141" t="n"/>
      <c r="I27" s="147" t="n"/>
      <c r="J27" s="148" t="n"/>
    </row>
    <row r="28" ht="13.5" customHeight="1" s="199">
      <c r="A28" s="126" t="inlineStr">
        <is>
          <t>5.</t>
        </is>
      </c>
      <c r="B28" s="127" t="inlineStr">
        <is>
          <t>Náklady na produkci výstupů projektu – materiál (vybavení, přímý nákup občerstvení v obchodě apod.)</t>
        </is>
      </c>
      <c r="C28" s="154" t="inlineStr">
        <is>
          <t>např. kus, ...</t>
        </is>
      </c>
      <c r="D28" s="129" t="n"/>
      <c r="E28" s="129" t="n"/>
      <c r="F28" s="129">
        <f>SUM(F29:F32)</f>
        <v/>
      </c>
      <c r="G28" s="130" t="n"/>
      <c r="H28" s="129">
        <f>SUM(H29:H32)</f>
        <v/>
      </c>
      <c r="I28" s="129">
        <f>SUM(I29:I32)</f>
        <v/>
      </c>
      <c r="J28" s="131" t="n"/>
    </row>
    <row r="29" ht="45.75" customHeight="1" s="199">
      <c r="A29" s="155" t="n">
        <v>45296</v>
      </c>
      <c r="B29" s="133" t="n"/>
      <c r="C29" s="134" t="n"/>
      <c r="D29" s="134" t="n"/>
      <c r="E29" s="134" t="n"/>
      <c r="F29" s="135">
        <f>SUM(D29*E29)</f>
        <v/>
      </c>
      <c r="G29" s="140" t="n"/>
      <c r="H29" s="141" t="n"/>
      <c r="I29" s="150" t="n"/>
      <c r="J29" s="151" t="n"/>
    </row>
    <row r="30" ht="13.5" customHeight="1" s="199">
      <c r="A30" s="155" t="n">
        <v>45327</v>
      </c>
      <c r="B30" s="142" t="n"/>
      <c r="C30" s="135" t="n"/>
      <c r="D30" s="135" t="n"/>
      <c r="E30" s="135" t="n"/>
      <c r="F30" s="135">
        <f>SUM(D30*E30)</f>
        <v/>
      </c>
      <c r="G30" s="140" t="n"/>
      <c r="H30" s="141" t="n"/>
      <c r="I30" s="147" t="n"/>
      <c r="J30" s="148" t="n"/>
    </row>
    <row r="31" ht="13.5" customHeight="1" s="199">
      <c r="A31" s="155" t="n">
        <v>45356</v>
      </c>
      <c r="B31" s="142" t="n"/>
      <c r="C31" s="135" t="n"/>
      <c r="D31" s="135" t="n"/>
      <c r="E31" s="135" t="n"/>
      <c r="F31" s="135">
        <f>SUM(D31*E31)</f>
        <v/>
      </c>
      <c r="G31" s="140" t="n"/>
      <c r="H31" s="141" t="n"/>
      <c r="I31" s="147" t="n"/>
      <c r="J31" s="148" t="n"/>
    </row>
    <row r="32" ht="13.5" customHeight="1" s="199">
      <c r="A32" s="155" t="n">
        <v>45387</v>
      </c>
      <c r="B32" s="156" t="n"/>
      <c r="C32" s="188" t="n"/>
      <c r="D32" s="188" t="n"/>
      <c r="E32" s="188" t="n"/>
      <c r="F32" s="188">
        <f>SUM(D32*E32)</f>
        <v/>
      </c>
      <c r="G32" s="189" t="n"/>
      <c r="H32" s="190" t="n"/>
      <c r="I32" s="191" t="n"/>
      <c r="J32" s="192" t="n"/>
    </row>
    <row r="33" ht="13.5" customHeight="1" s="199">
      <c r="A33" s="157" t="inlineStr">
        <is>
          <t>6.</t>
        </is>
      </c>
      <c r="B33" s="127" t="inlineStr">
        <is>
          <t>Cestovné &amp; Ubytování (ubytování a cesty vystupujících, cestovné realizačního týmu)</t>
        </is>
      </c>
      <c r="C33" s="128" t="inlineStr">
        <is>
          <t>např. noc, cesta</t>
        </is>
      </c>
      <c r="D33" s="193" t="n"/>
      <c r="E33" s="193" t="n"/>
      <c r="F33" s="193">
        <f>SUM(F34:F38)</f>
        <v/>
      </c>
      <c r="G33" s="130" t="n"/>
      <c r="H33" s="193">
        <f>SUM(H34:H38)</f>
        <v/>
      </c>
      <c r="I33" s="193">
        <f>SUM(I34:I38)</f>
        <v/>
      </c>
      <c r="J33" s="194" t="n"/>
      <c r="K33" s="163" t="n"/>
      <c r="L33" s="163" t="n"/>
      <c r="M33" s="163" t="n"/>
    </row>
    <row r="34" ht="13.5" customHeight="1" s="199">
      <c r="A34" s="164">
        <f>$A$33&amp;(ROW()-ROW(A$33))</f>
        <v/>
      </c>
      <c r="B34" s="195" t="n"/>
      <c r="C34" s="196" t="n"/>
      <c r="D34" s="167" t="n"/>
      <c r="E34" s="168" t="n"/>
      <c r="F34" s="134">
        <f>SUM(D34*E34)</f>
        <v/>
      </c>
      <c r="G34" s="149" t="n"/>
      <c r="H34" s="137" t="n"/>
      <c r="I34" s="138" t="n"/>
      <c r="J34" s="139" t="n"/>
      <c r="K34" s="163" t="n"/>
      <c r="L34" s="163" t="n"/>
      <c r="M34" s="163" t="n"/>
    </row>
    <row r="35" ht="13.5" customHeight="1" s="199">
      <c r="A35" s="164">
        <f>$A$33&amp;(ROW()-ROW(A$33))</f>
        <v/>
      </c>
      <c r="B35" s="169" t="n"/>
      <c r="C35" s="147" t="n"/>
      <c r="D35" s="141" t="n"/>
      <c r="E35" s="147" t="n"/>
      <c r="F35" s="135">
        <f>SUM(D35*E35)</f>
        <v/>
      </c>
      <c r="G35" s="140" t="n"/>
      <c r="H35" s="141" t="n"/>
      <c r="I35" s="147" t="n"/>
      <c r="J35" s="148" t="n"/>
      <c r="K35" s="163" t="n"/>
      <c r="L35" s="163" t="n"/>
      <c r="M35" s="163" t="n"/>
    </row>
    <row r="36" ht="13.5" customHeight="1" s="199">
      <c r="A36" s="164">
        <f>$A$33&amp;(ROW()-ROW(A$33))</f>
        <v/>
      </c>
      <c r="B36" s="169" t="n"/>
      <c r="C36" s="147" t="n"/>
      <c r="D36" s="141" t="n"/>
      <c r="E36" s="141" t="n"/>
      <c r="F36" s="135">
        <f>SUM(D36*E36)</f>
        <v/>
      </c>
      <c r="G36" s="140" t="n"/>
      <c r="H36" s="141" t="n"/>
      <c r="I36" s="147" t="n"/>
      <c r="J36" s="148" t="n"/>
      <c r="K36" s="163" t="n"/>
      <c r="L36" s="163" t="n"/>
      <c r="M36" s="163" t="n"/>
    </row>
    <row r="37" ht="13.5" customHeight="1" s="199">
      <c r="A37" s="164">
        <f>$A$33&amp;(ROW()-ROW(A$33))</f>
        <v/>
      </c>
      <c r="B37" s="169" t="n"/>
      <c r="C37" s="147" t="n"/>
      <c r="D37" s="141" t="n"/>
      <c r="E37" s="141" t="n"/>
      <c r="F37" s="135">
        <f>SUM(D37*E37)</f>
        <v/>
      </c>
      <c r="G37" s="140" t="n"/>
      <c r="H37" s="141" t="n"/>
      <c r="I37" s="147" t="n"/>
      <c r="J37" s="148" t="n"/>
      <c r="K37" s="163" t="n"/>
      <c r="L37" s="163" t="n"/>
      <c r="M37" s="163" t="n"/>
    </row>
    <row r="38" ht="13.5" customHeight="1" s="199">
      <c r="A38" s="164">
        <f>$A$33&amp;(ROW()-ROW(A$33))</f>
        <v/>
      </c>
      <c r="B38" s="197" t="n"/>
      <c r="C38" s="191" t="n"/>
      <c r="D38" s="190" t="n"/>
      <c r="E38" s="190" t="n"/>
      <c r="F38" s="188">
        <f>SUM(D38*E38)</f>
        <v/>
      </c>
      <c r="G38" s="189" t="n"/>
      <c r="H38" s="190" t="n"/>
      <c r="I38" s="191" t="n"/>
      <c r="J38" s="192" t="n"/>
      <c r="K38" s="163" t="n"/>
      <c r="L38" s="163" t="n"/>
      <c r="M38" s="163" t="n"/>
    </row>
    <row r="39" ht="13.5" customHeight="1" s="199">
      <c r="A39" s="157" t="inlineStr">
        <is>
          <t>7.</t>
        </is>
      </c>
      <c r="B39" s="127" t="inlineStr">
        <is>
          <t>Propagace (práce, grafika, tisk, reklamní prostor, foto, video)</t>
        </is>
      </c>
      <c r="C39" s="193" t="n"/>
      <c r="D39" s="193" t="n"/>
      <c r="E39" s="193" t="n"/>
      <c r="F39" s="193">
        <f>SUM(F40:F44)</f>
        <v/>
      </c>
      <c r="G39" s="130" t="n"/>
      <c r="H39" s="193">
        <f>SUM(H40:H44)</f>
        <v/>
      </c>
      <c r="I39" s="193">
        <f>SUM(I40:I44)</f>
        <v/>
      </c>
      <c r="J39" s="194" t="n"/>
      <c r="K39" s="163" t="n"/>
      <c r="L39" s="163" t="n"/>
      <c r="M39" s="163" t="n"/>
    </row>
    <row r="40" ht="13.5" customHeight="1" s="199">
      <c r="A40" s="172">
        <f>$A$39&amp;(ROW()-ROW(A$39))</f>
        <v/>
      </c>
      <c r="B40" s="198" t="n"/>
      <c r="C40" s="138" t="n"/>
      <c r="D40" s="138" t="n"/>
      <c r="E40" s="138" t="n"/>
      <c r="F40" s="134">
        <f>SUM(D40*E40)</f>
        <v/>
      </c>
      <c r="G40" s="149" t="n"/>
      <c r="H40" s="137" t="n"/>
      <c r="I40" s="138" t="n"/>
      <c r="J40" s="139" t="n"/>
      <c r="K40" s="163" t="n"/>
      <c r="L40" s="163" t="n"/>
      <c r="M40" s="163" t="n"/>
    </row>
    <row r="41" ht="13.5" customHeight="1" s="199">
      <c r="A41" s="172">
        <f>$A$39&amp;(ROW()-ROW(A$39))</f>
        <v/>
      </c>
      <c r="B41" s="169" t="n"/>
      <c r="C41" s="147" t="n"/>
      <c r="D41" s="147" t="n"/>
      <c r="E41" s="147" t="n"/>
      <c r="F41" s="135">
        <f>SUM(D41*E41)</f>
        <v/>
      </c>
      <c r="G41" s="140" t="n"/>
      <c r="H41" s="141" t="n"/>
      <c r="I41" s="147" t="n"/>
      <c r="J41" s="148" t="n"/>
      <c r="K41" s="163" t="n"/>
      <c r="L41" s="163" t="n"/>
      <c r="M41" s="163" t="n"/>
    </row>
    <row r="42" ht="13.5" customHeight="1" s="199">
      <c r="A42" s="172">
        <f>$A$39&amp;(ROW()-ROW(A$39))</f>
        <v/>
      </c>
      <c r="B42" s="169" t="n"/>
      <c r="C42" s="147" t="n"/>
      <c r="D42" s="141" t="n"/>
      <c r="E42" s="141" t="n"/>
      <c r="F42" s="135">
        <f>SUM(D42*E42)</f>
        <v/>
      </c>
      <c r="G42" s="140" t="n"/>
      <c r="H42" s="141" t="n"/>
      <c r="I42" s="147" t="n"/>
      <c r="J42" s="148" t="n"/>
      <c r="K42" s="163" t="n"/>
      <c r="L42" s="163" t="n"/>
      <c r="M42" s="163" t="n"/>
    </row>
    <row r="43" ht="13.5" customHeight="1" s="199">
      <c r="A43" s="172">
        <f>$A$39&amp;(ROW()-ROW(A$39))</f>
        <v/>
      </c>
      <c r="B43" s="169" t="n"/>
      <c r="C43" s="147" t="n"/>
      <c r="D43" s="141" t="n"/>
      <c r="E43" s="141" t="n"/>
      <c r="F43" s="135">
        <f>SUM(D43*E43)</f>
        <v/>
      </c>
      <c r="G43" s="140" t="n"/>
      <c r="H43" s="141" t="n"/>
      <c r="I43" s="147" t="n"/>
      <c r="J43" s="148" t="n"/>
      <c r="K43" s="163" t="n"/>
      <c r="L43" s="163" t="n"/>
      <c r="M43" s="163" t="n"/>
    </row>
    <row r="44" ht="13.5" customHeight="1" s="199">
      <c r="A44" s="172">
        <f>$A$39&amp;(ROW()-ROW(A$39))</f>
        <v/>
      </c>
      <c r="B44" s="169" t="n"/>
      <c r="C44" s="147" t="n"/>
      <c r="D44" s="141" t="n"/>
      <c r="E44" s="141" t="n"/>
      <c r="F44" s="135">
        <f>SUM(D44*E44)</f>
        <v/>
      </c>
      <c r="G44" s="140" t="n"/>
      <c r="H44" s="141" t="n"/>
      <c r="I44" s="147" t="n"/>
      <c r="J44" s="148" t="n"/>
      <c r="K44" s="163" t="n"/>
      <c r="L44" s="163" t="n"/>
      <c r="M44" s="163" t="n"/>
    </row>
    <row r="45" ht="19.5" customHeight="1" s="199">
      <c r="A45" s="173" t="inlineStr">
        <is>
          <t>A1</t>
        </is>
      </c>
      <c r="B45" s="174" t="inlineStr">
        <is>
          <t xml:space="preserve">Náklady celkem </t>
        </is>
      </c>
      <c r="C45" s="175" t="n"/>
      <c r="D45" s="175" t="n"/>
      <c r="E45" s="175" t="n"/>
      <c r="F45" s="175">
        <f>F33+F21+F15+F10+F5+F28+F39</f>
        <v/>
      </c>
      <c r="G45" s="176" t="n"/>
      <c r="H45" s="177">
        <f>H33+H21+H15+H10+H5+H39+H28</f>
        <v/>
      </c>
      <c r="I45" s="177">
        <f>I33+I21+I15+I10+I5+I39+I28</f>
        <v/>
      </c>
      <c r="J45" s="178" t="n"/>
    </row>
    <row r="46" ht="18" customHeight="1" s="199">
      <c r="A46" s="114" t="n"/>
      <c r="B46" s="179" t="n"/>
      <c r="C46" s="180" t="n"/>
      <c r="D46" s="180" t="n"/>
      <c r="E46" s="180" t="n"/>
      <c r="F46" s="180" t="n"/>
      <c r="G46" s="180" t="n"/>
      <c r="H46" s="181" t="n"/>
      <c r="I46" s="180" t="n"/>
      <c r="J46" s="180" t="n"/>
      <c r="K46" s="113" t="n"/>
      <c r="L46" s="113" t="n"/>
      <c r="M46" s="113" t="n"/>
    </row>
    <row r="47" ht="13.5" customHeight="1" s="199">
      <c r="A47" s="114" t="n"/>
      <c r="B47" s="182" t="n"/>
      <c r="C47" s="183" t="n"/>
      <c r="D47" s="183" t="n"/>
      <c r="E47" s="183" t="n"/>
      <c r="F47" s="183" t="n"/>
      <c r="G47" s="114" t="n"/>
      <c r="H47" s="103" t="n"/>
      <c r="I47" s="113" t="n"/>
      <c r="J47" s="113" t="n"/>
    </row>
    <row r="48" ht="13.5" customHeight="1" s="199">
      <c r="A48" s="103" t="n"/>
      <c r="B48" s="184" t="n"/>
      <c r="C48" s="185" t="n"/>
      <c r="D48" s="185" t="n"/>
      <c r="E48" s="185" t="n"/>
      <c r="F48" s="185" t="n"/>
      <c r="G48" s="103" t="n"/>
      <c r="H48" s="103" t="n"/>
      <c r="I48" s="113" t="n"/>
      <c r="J48" s="113" t="n"/>
    </row>
    <row r="49" ht="13.5" customHeight="1" s="199">
      <c r="A49" s="103" t="n"/>
      <c r="B49" s="184" t="n"/>
      <c r="C49" s="185" t="n"/>
      <c r="D49" s="185" t="n"/>
      <c r="E49" s="185" t="n"/>
      <c r="F49" s="185" t="n"/>
      <c r="G49" s="103" t="n"/>
      <c r="H49" s="103" t="n"/>
      <c r="I49" s="113" t="n"/>
      <c r="J49" s="113" t="n"/>
    </row>
    <row r="50" ht="4.5" customHeight="1" s="199">
      <c r="A50" s="103" t="n"/>
      <c r="B50" s="184" t="n"/>
      <c r="C50" s="185" t="n"/>
      <c r="D50" s="185" t="n"/>
      <c r="E50" s="185" t="n"/>
      <c r="F50" s="185" t="n"/>
      <c r="G50" s="103" t="n"/>
      <c r="H50" s="103" t="n"/>
      <c r="I50" s="113" t="n"/>
      <c r="J50" s="113" t="n"/>
    </row>
    <row r="51" ht="13.5" customHeight="1" s="199">
      <c r="A51" s="103" t="n"/>
      <c r="B51" s="184" t="n"/>
      <c r="C51" s="185" t="n"/>
      <c r="D51" s="185" t="n"/>
      <c r="E51" s="185" t="n"/>
      <c r="F51" s="185" t="n"/>
      <c r="G51" s="103" t="n"/>
      <c r="H51" s="103" t="n"/>
      <c r="I51" s="113" t="n"/>
      <c r="J51" s="113" t="n"/>
    </row>
    <row r="52" ht="15" customHeight="1" s="199">
      <c r="A52" s="103" t="n"/>
      <c r="B52" s="184" t="n"/>
      <c r="C52" s="185" t="n"/>
      <c r="D52" s="185" t="n"/>
      <c r="E52" s="185" t="n"/>
      <c r="F52" s="185" t="n"/>
      <c r="G52" s="103" t="n"/>
      <c r="H52" s="103" t="n"/>
      <c r="I52" s="113" t="n"/>
      <c r="J52" s="113" t="n"/>
    </row>
    <row r="53" ht="13.5" customHeight="1" s="199">
      <c r="A53" s="103" t="n"/>
      <c r="B53" s="184" t="n"/>
      <c r="C53" s="185" t="n"/>
      <c r="D53" s="185" t="n"/>
      <c r="E53" s="185" t="n"/>
      <c r="F53" s="185" t="n"/>
      <c r="G53" s="103" t="n"/>
      <c r="H53" s="103" t="n"/>
      <c r="I53" s="113" t="n"/>
      <c r="J53" s="113" t="n"/>
    </row>
    <row r="54" ht="13.5" customHeight="1" s="199">
      <c r="A54" s="103" t="n"/>
      <c r="B54" s="184" t="n"/>
      <c r="C54" s="185" t="n"/>
      <c r="D54" s="185" t="n"/>
      <c r="E54" s="185" t="n"/>
      <c r="F54" s="185" t="n"/>
      <c r="G54" s="103" t="n"/>
      <c r="H54" s="103" t="n"/>
      <c r="I54" s="113" t="n"/>
      <c r="J54" s="113" t="n"/>
    </row>
    <row r="55" ht="13.5" customHeight="1" s="199">
      <c r="A55" s="103" t="n"/>
      <c r="B55" s="184" t="n"/>
      <c r="C55" s="185" t="n"/>
      <c r="D55" s="185" t="n"/>
      <c r="E55" s="185" t="n"/>
      <c r="F55" s="185" t="n"/>
      <c r="G55" s="103" t="n"/>
      <c r="H55" s="103" t="n"/>
      <c r="I55" s="113" t="n"/>
      <c r="J55" s="113" t="n"/>
    </row>
    <row r="56" ht="13.5" customHeight="1" s="199">
      <c r="A56" s="103" t="n"/>
      <c r="B56" s="184" t="n"/>
      <c r="C56" s="185" t="n"/>
      <c r="D56" s="185" t="n"/>
      <c r="E56" s="185" t="n"/>
      <c r="F56" s="185" t="n"/>
      <c r="G56" s="103" t="n"/>
      <c r="H56" s="103" t="n"/>
      <c r="I56" s="113" t="n"/>
      <c r="J56" s="113" t="n"/>
    </row>
    <row r="57" ht="13.5" customHeight="1" s="199">
      <c r="A57" s="103" t="n"/>
      <c r="B57" s="184" t="n"/>
      <c r="C57" s="185" t="n"/>
      <c r="D57" s="185" t="n"/>
      <c r="E57" s="185" t="n"/>
      <c r="F57" s="185" t="n"/>
      <c r="G57" s="103" t="n"/>
      <c r="H57" s="103" t="n"/>
      <c r="I57" s="113" t="n"/>
      <c r="J57" s="113" t="n"/>
    </row>
    <row r="58" ht="13.5" customHeight="1" s="199">
      <c r="A58" s="103" t="n"/>
      <c r="B58" s="184" t="n"/>
      <c r="C58" s="185" t="n"/>
      <c r="D58" s="185" t="n"/>
      <c r="E58" s="185" t="n"/>
      <c r="F58" s="185" t="n"/>
      <c r="G58" s="103" t="n"/>
      <c r="H58" s="103" t="n"/>
      <c r="I58" s="113" t="n"/>
      <c r="J58" s="113" t="n"/>
    </row>
    <row r="59" ht="13.5" customHeight="1" s="199">
      <c r="A59" s="103" t="n"/>
      <c r="B59" s="184" t="n"/>
      <c r="C59" s="185" t="n"/>
      <c r="D59" s="185" t="n"/>
      <c r="E59" s="185" t="n"/>
      <c r="F59" s="185" t="n"/>
      <c r="G59" s="103" t="n"/>
      <c r="H59" s="103" t="n"/>
      <c r="I59" s="113" t="n"/>
      <c r="J59" s="113" t="n"/>
    </row>
    <row r="60" ht="13.5" customHeight="1" s="199">
      <c r="A60" s="103" t="n"/>
      <c r="B60" s="184" t="n"/>
      <c r="C60" s="185" t="n"/>
      <c r="D60" s="185" t="n"/>
      <c r="E60" s="185" t="n"/>
      <c r="F60" s="185" t="n"/>
      <c r="G60" s="103" t="n"/>
      <c r="H60" s="103" t="n"/>
      <c r="I60" s="113" t="n"/>
      <c r="J60" s="113" t="n"/>
    </row>
    <row r="61" ht="13.5" customHeight="1" s="199">
      <c r="A61" s="103" t="n"/>
      <c r="B61" s="184" t="n"/>
      <c r="C61" s="185" t="n"/>
      <c r="D61" s="185" t="n"/>
      <c r="E61" s="185" t="n"/>
      <c r="F61" s="185" t="n"/>
      <c r="G61" s="103" t="n"/>
      <c r="H61" s="103" t="n"/>
      <c r="I61" s="113" t="n"/>
      <c r="J61" s="113" t="n"/>
    </row>
    <row r="62" ht="15" customHeight="1" s="199">
      <c r="A62" s="103" t="n"/>
      <c r="B62" s="184" t="n"/>
      <c r="C62" s="185" t="n"/>
      <c r="D62" s="185" t="n"/>
      <c r="E62" s="185" t="n"/>
      <c r="F62" s="185" t="n"/>
      <c r="G62" s="103" t="n"/>
      <c r="H62" s="103" t="n"/>
      <c r="I62" s="113" t="n"/>
      <c r="J62" s="113" t="n"/>
    </row>
    <row r="63" ht="28.5" customHeight="1" s="199">
      <c r="A63" s="103" t="n"/>
      <c r="B63" s="184" t="n"/>
      <c r="C63" s="185" t="n"/>
      <c r="D63" s="185" t="n"/>
      <c r="E63" s="185" t="n"/>
      <c r="F63" s="185" t="n"/>
      <c r="G63" s="185" t="n"/>
      <c r="H63" s="103" t="n"/>
      <c r="I63" s="113" t="n"/>
      <c r="J63" s="113" t="n"/>
    </row>
    <row r="64" ht="18" customHeight="1" s="199">
      <c r="A64" s="103" t="n"/>
      <c r="B64" s="184" t="n"/>
      <c r="C64" s="103" t="n"/>
      <c r="D64" s="103" t="n"/>
      <c r="E64" s="103" t="n"/>
      <c r="F64" s="103" t="n"/>
      <c r="G64" s="103" t="n"/>
      <c r="H64" s="103" t="n"/>
      <c r="I64" s="113" t="n"/>
      <c r="J64" s="113" t="n"/>
    </row>
    <row r="65" ht="15" customHeight="1" s="199">
      <c r="A65" s="103" t="n"/>
      <c r="B65" s="184" t="n"/>
      <c r="C65" s="185" t="n"/>
      <c r="D65" s="185" t="n"/>
      <c r="E65" s="185" t="n"/>
      <c r="F65" s="185" t="n"/>
      <c r="G65" s="103" t="n"/>
      <c r="H65" s="103" t="n"/>
      <c r="I65" s="113" t="n"/>
      <c r="J65" s="113" t="n"/>
    </row>
    <row r="66" ht="14.25" customHeight="1" s="199">
      <c r="A66" s="103" t="n"/>
      <c r="B66" s="184" t="n"/>
      <c r="C66" s="185" t="n"/>
      <c r="D66" s="185" t="n"/>
      <c r="E66" s="185" t="n"/>
      <c r="F66" s="185" t="n"/>
      <c r="G66" s="103" t="n"/>
      <c r="H66" s="103" t="n"/>
      <c r="I66" s="113" t="n"/>
      <c r="J66" s="113" t="n"/>
    </row>
    <row r="67" ht="12.75" customHeight="1" s="199">
      <c r="A67" s="103" t="n"/>
      <c r="B67" s="184" t="n"/>
      <c r="C67" s="185" t="n"/>
      <c r="D67" s="185" t="n"/>
      <c r="E67" s="185" t="n"/>
      <c r="F67" s="185" t="n"/>
      <c r="G67" s="103" t="n"/>
      <c r="H67" s="103" t="n"/>
      <c r="I67" s="113" t="n"/>
      <c r="J67" s="113" t="n"/>
    </row>
    <row r="68" ht="15" customHeight="1" s="199">
      <c r="A68" s="103" t="n"/>
      <c r="B68" s="184" t="n"/>
      <c r="C68" s="185" t="n"/>
      <c r="D68" s="185" t="n"/>
      <c r="E68" s="185" t="n"/>
      <c r="F68" s="185" t="n"/>
      <c r="G68" s="103" t="n"/>
      <c r="H68" s="103" t="n"/>
      <c r="I68" s="113" t="n"/>
      <c r="J68" s="113" t="n"/>
    </row>
    <row r="69" ht="13.5" customHeight="1" s="199">
      <c r="A69" s="103" t="n"/>
      <c r="B69" s="184" t="n"/>
      <c r="C69" s="103" t="n"/>
      <c r="D69" s="103" t="n"/>
      <c r="E69" s="103" t="n"/>
      <c r="F69" s="103" t="n"/>
      <c r="G69" s="103" t="n"/>
      <c r="H69" s="103" t="n"/>
      <c r="I69" s="112" t="n"/>
      <c r="J69" s="112" t="n"/>
      <c r="K69" s="113" t="n"/>
      <c r="L69" s="113" t="n"/>
      <c r="M69" s="113" t="n"/>
    </row>
    <row r="70" ht="13.5" customHeight="1" s="199">
      <c r="A70" s="103" t="n"/>
      <c r="B70" s="103" t="n"/>
      <c r="C70" s="103" t="n"/>
      <c r="D70" s="103" t="n"/>
      <c r="E70" s="103" t="n"/>
      <c r="F70" s="103" t="n"/>
      <c r="G70" s="103" t="n"/>
      <c r="H70" s="103" t="n"/>
      <c r="I70" s="186" t="n"/>
      <c r="J70" s="186" t="n"/>
      <c r="K70" s="113" t="n"/>
      <c r="L70" s="113" t="n"/>
      <c r="M70" s="113" t="n"/>
    </row>
    <row r="71" ht="13.5" customHeight="1" s="199">
      <c r="A71" s="103" t="n"/>
      <c r="B71" s="184" t="n"/>
      <c r="C71" s="103" t="n"/>
      <c r="D71" s="103" t="n"/>
      <c r="E71" s="103" t="n"/>
      <c r="F71" s="103" t="n"/>
      <c r="G71" s="103" t="n"/>
      <c r="H71" s="103" t="n"/>
      <c r="I71" s="112" t="n"/>
      <c r="J71" s="112" t="n"/>
      <c r="K71" s="113" t="n"/>
      <c r="L71" s="113" t="n"/>
      <c r="M71" s="113" t="n"/>
    </row>
    <row r="72" ht="13.5" customHeight="1" s="199">
      <c r="A72" s="103" t="n"/>
      <c r="B72" s="184" t="n"/>
      <c r="C72" s="103" t="n"/>
      <c r="D72" s="103" t="n"/>
      <c r="E72" s="103" t="n"/>
      <c r="F72" s="103" t="n"/>
      <c r="G72" s="103" t="n"/>
      <c r="H72" s="103" t="n"/>
      <c r="I72" s="112" t="n"/>
      <c r="J72" s="112" t="n"/>
      <c r="K72" s="113" t="n"/>
      <c r="L72" s="113" t="n"/>
      <c r="M72" s="113" t="n"/>
    </row>
    <row r="73" ht="13.5" customHeight="1" s="199">
      <c r="A73" s="103" t="n"/>
      <c r="B73" s="184" t="n"/>
      <c r="C73" s="103" t="n"/>
      <c r="D73" s="103" t="n"/>
      <c r="E73" s="103" t="n"/>
      <c r="F73" s="103" t="n"/>
      <c r="G73" s="103" t="n"/>
      <c r="H73" s="103" t="n"/>
      <c r="I73" s="112" t="n"/>
      <c r="J73" s="112" t="n"/>
      <c r="K73" s="113" t="n"/>
      <c r="L73" s="113" t="n"/>
      <c r="M73" s="113" t="n"/>
    </row>
    <row r="74" ht="13.5" customHeight="1" s="199">
      <c r="A74" s="103" t="n"/>
      <c r="B74" s="184" t="n"/>
      <c r="C74" s="103" t="n"/>
      <c r="D74" s="103" t="n"/>
      <c r="E74" s="103" t="n"/>
      <c r="F74" s="103" t="n"/>
      <c r="G74" s="103" t="n"/>
      <c r="H74" s="103" t="n"/>
      <c r="I74" s="112" t="n"/>
      <c r="J74" s="112" t="n"/>
      <c r="K74" s="113" t="n"/>
      <c r="L74" s="113" t="n"/>
      <c r="M74" s="113" t="n"/>
    </row>
    <row r="75" ht="13.5" customHeight="1" s="199">
      <c r="A75" s="103" t="n"/>
      <c r="B75" s="184" t="n"/>
      <c r="C75" s="103" t="n"/>
      <c r="D75" s="103" t="n"/>
      <c r="E75" s="103" t="n"/>
      <c r="F75" s="103" t="n"/>
      <c r="G75" s="103" t="n"/>
      <c r="H75" s="103" t="n"/>
      <c r="I75" s="112" t="n"/>
      <c r="J75" s="112" t="n"/>
      <c r="K75" s="113" t="n"/>
      <c r="L75" s="113" t="n"/>
      <c r="M75" s="113" t="n"/>
    </row>
    <row r="76" ht="13.5" customHeight="1" s="199">
      <c r="A76" s="103" t="n"/>
      <c r="B76" s="184" t="n"/>
      <c r="C76" s="103" t="n"/>
      <c r="D76" s="103" t="n"/>
      <c r="E76" s="103" t="n"/>
      <c r="F76" s="103" t="n"/>
      <c r="G76" s="103" t="n"/>
      <c r="H76" s="103" t="n"/>
      <c r="I76" s="112" t="n"/>
      <c r="J76" s="112" t="n"/>
      <c r="K76" s="113" t="n"/>
      <c r="L76" s="113" t="n"/>
      <c r="M76" s="113" t="n"/>
    </row>
    <row r="77" ht="13.5" customHeight="1" s="199">
      <c r="A77" s="103" t="n"/>
      <c r="B77" s="184" t="n"/>
      <c r="C77" s="103" t="n"/>
      <c r="D77" s="103" t="n"/>
      <c r="E77" s="103" t="n"/>
      <c r="F77" s="103" t="n"/>
      <c r="G77" s="103" t="n"/>
      <c r="H77" s="103" t="n"/>
      <c r="I77" s="112" t="n"/>
      <c r="J77" s="112" t="n"/>
      <c r="K77" s="113" t="n"/>
      <c r="L77" s="113" t="n"/>
      <c r="M77" s="113" t="n"/>
    </row>
    <row r="78" ht="13.5" customHeight="1" s="199">
      <c r="A78" s="103" t="n"/>
      <c r="B78" s="184" t="n"/>
      <c r="C78" s="103" t="n"/>
      <c r="D78" s="103" t="n"/>
      <c r="E78" s="103" t="n"/>
      <c r="F78" s="103" t="n"/>
      <c r="G78" s="103" t="n"/>
      <c r="H78" s="103" t="n"/>
      <c r="I78" s="112" t="n"/>
      <c r="J78" s="112" t="n"/>
      <c r="K78" s="113" t="n"/>
      <c r="L78" s="113" t="n"/>
      <c r="M78" s="113" t="n"/>
    </row>
    <row r="79" ht="13.5" customHeight="1" s="199">
      <c r="A79" s="103" t="n"/>
      <c r="B79" s="184" t="n"/>
      <c r="C79" s="103" t="n"/>
      <c r="D79" s="103" t="n"/>
      <c r="E79" s="103" t="n"/>
      <c r="F79" s="103" t="n"/>
      <c r="G79" s="103" t="n"/>
      <c r="H79" s="103" t="n"/>
      <c r="I79" s="112" t="n"/>
      <c r="J79" s="112" t="n"/>
      <c r="K79" s="113" t="n"/>
      <c r="L79" s="113" t="n"/>
      <c r="M79" s="113" t="n"/>
    </row>
    <row r="80" ht="13.5" customHeight="1" s="199">
      <c r="A80" s="103" t="n"/>
      <c r="B80" s="184" t="n"/>
      <c r="C80" s="103" t="n"/>
      <c r="D80" s="103" t="n"/>
      <c r="E80" s="103" t="n"/>
      <c r="F80" s="103" t="n"/>
      <c r="G80" s="103" t="n"/>
      <c r="H80" s="103" t="n"/>
      <c r="I80" s="112" t="n"/>
      <c r="J80" s="112" t="n"/>
      <c r="K80" s="113" t="n"/>
      <c r="L80" s="113" t="n"/>
      <c r="M80" s="113" t="n"/>
    </row>
    <row r="81" ht="13.5" customHeight="1" s="199">
      <c r="A81" s="103" t="n"/>
      <c r="B81" s="184" t="n"/>
      <c r="C81" s="103" t="n"/>
      <c r="D81" s="103" t="n"/>
      <c r="E81" s="103" t="n"/>
      <c r="F81" s="103" t="n"/>
      <c r="G81" s="103" t="n"/>
      <c r="H81" s="103" t="n"/>
      <c r="I81" s="112" t="n"/>
      <c r="J81" s="112" t="n"/>
      <c r="K81" s="113" t="n"/>
      <c r="L81" s="113" t="n"/>
      <c r="M81" s="113" t="n"/>
    </row>
    <row r="82" ht="13.5" customHeight="1" s="199">
      <c r="A82" s="114" t="n"/>
      <c r="B82" s="187" t="n"/>
      <c r="C82" s="112" t="n"/>
      <c r="D82" s="112" t="n"/>
      <c r="E82" s="112" t="n"/>
      <c r="F82" s="112" t="n"/>
      <c r="G82" s="112" t="n"/>
      <c r="H82" s="112" t="n"/>
      <c r="I82" s="112" t="n"/>
      <c r="J82" s="112" t="n"/>
      <c r="K82" s="113" t="n"/>
      <c r="L82" s="113" t="n"/>
      <c r="M82" s="113" t="n"/>
    </row>
    <row r="83" ht="13.5" customHeight="1" s="199">
      <c r="A83" s="114" t="n"/>
      <c r="B83" s="187" t="n"/>
      <c r="C83" s="112" t="n"/>
      <c r="D83" s="112" t="n"/>
      <c r="E83" s="112" t="n"/>
      <c r="F83" s="112" t="n"/>
      <c r="G83" s="112" t="n"/>
      <c r="H83" s="112" t="n"/>
      <c r="I83" s="112" t="n"/>
      <c r="J83" s="112" t="n"/>
      <c r="K83" s="113" t="n"/>
      <c r="L83" s="113" t="n"/>
      <c r="M83" s="113" t="n"/>
    </row>
    <row r="84" ht="13.5" customHeight="1" s="199">
      <c r="A84" s="114" t="n"/>
      <c r="B84" s="187" t="n"/>
      <c r="C84" s="112" t="n"/>
      <c r="D84" s="112" t="n"/>
      <c r="E84" s="112" t="n"/>
      <c r="F84" s="112" t="n"/>
      <c r="G84" s="112" t="n"/>
      <c r="H84" s="112" t="n"/>
      <c r="I84" s="112" t="n"/>
      <c r="J84" s="112" t="n"/>
      <c r="K84" s="113" t="n"/>
      <c r="L84" s="113" t="n"/>
      <c r="M84" s="113" t="n"/>
    </row>
    <row r="85" ht="13.5" customHeight="1" s="199">
      <c r="A85" s="114" t="n"/>
      <c r="B85" s="187" t="n"/>
      <c r="C85" s="112" t="n"/>
      <c r="D85" s="112" t="n"/>
      <c r="E85" s="112" t="n"/>
      <c r="F85" s="112" t="n"/>
      <c r="G85" s="112" t="n"/>
      <c r="H85" s="112" t="n"/>
      <c r="I85" s="112" t="n"/>
      <c r="J85" s="112" t="n"/>
      <c r="K85" s="113" t="n"/>
      <c r="L85" s="113" t="n"/>
      <c r="M85" s="113" t="n"/>
    </row>
    <row r="86" ht="13.5" customHeight="1" s="199">
      <c r="A86" s="114" t="n"/>
      <c r="B86" s="187" t="n"/>
      <c r="C86" s="112" t="n"/>
      <c r="D86" s="112" t="n"/>
      <c r="E86" s="112" t="n"/>
      <c r="F86" s="112" t="n"/>
      <c r="G86" s="112" t="n"/>
      <c r="H86" s="112" t="n"/>
      <c r="I86" s="112" t="n"/>
      <c r="J86" s="112" t="n"/>
      <c r="K86" s="113" t="n"/>
      <c r="L86" s="113" t="n"/>
      <c r="M86" s="113" t="n"/>
    </row>
    <row r="87" ht="13.5" customHeight="1" s="199">
      <c r="A87" s="114" t="n"/>
      <c r="B87" s="187" t="n"/>
      <c r="C87" s="112" t="n"/>
      <c r="D87" s="112" t="n"/>
      <c r="E87" s="112" t="n"/>
      <c r="F87" s="112" t="n"/>
      <c r="G87" s="112" t="n"/>
      <c r="H87" s="112" t="n"/>
      <c r="I87" s="112" t="n"/>
      <c r="J87" s="112" t="n"/>
      <c r="K87" s="113" t="n"/>
      <c r="L87" s="113" t="n"/>
      <c r="M87" s="113" t="n"/>
    </row>
    <row r="88" ht="13.5" customHeight="1" s="199">
      <c r="A88" s="114" t="n"/>
      <c r="B88" s="187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3" t="n"/>
      <c r="L88" s="113" t="n"/>
      <c r="M88" s="113" t="n"/>
    </row>
    <row r="89" ht="13.5" customHeight="1" s="199">
      <c r="A89" s="114" t="n"/>
      <c r="B89" s="187" t="n"/>
      <c r="C89" s="112" t="n"/>
      <c r="D89" s="112" t="n"/>
      <c r="E89" s="112" t="n"/>
      <c r="F89" s="112" t="n"/>
      <c r="G89" s="112" t="n"/>
      <c r="H89" s="112" t="n"/>
      <c r="I89" s="112" t="n"/>
      <c r="J89" s="112" t="n"/>
      <c r="K89" s="113" t="n"/>
      <c r="L89" s="113" t="n"/>
      <c r="M89" s="113" t="n"/>
    </row>
    <row r="90" ht="13.5" customHeight="1" s="199">
      <c r="A90" s="114" t="n"/>
      <c r="B90" s="187" t="n"/>
      <c r="C90" s="112" t="n"/>
      <c r="D90" s="112" t="n"/>
      <c r="E90" s="112" t="n"/>
      <c r="F90" s="112" t="n"/>
      <c r="G90" s="112" t="n"/>
      <c r="H90" s="112" t="n"/>
      <c r="I90" s="112" t="n"/>
      <c r="J90" s="112" t="n"/>
      <c r="K90" s="113" t="n"/>
      <c r="L90" s="113" t="n"/>
      <c r="M90" s="113" t="n"/>
    </row>
    <row r="91" ht="13.5" customHeight="1" s="199">
      <c r="A91" s="114" t="n"/>
      <c r="B91" s="187" t="n"/>
      <c r="C91" s="112" t="n"/>
      <c r="D91" s="112" t="n"/>
      <c r="E91" s="112" t="n"/>
      <c r="F91" s="112" t="n"/>
      <c r="G91" s="112" t="n"/>
      <c r="H91" s="112" t="n"/>
      <c r="I91" s="112" t="n"/>
      <c r="J91" s="112" t="n"/>
      <c r="K91" s="113" t="n"/>
      <c r="L91" s="113" t="n"/>
      <c r="M91" s="113" t="n"/>
    </row>
    <row r="92" ht="13.5" customHeight="1" s="199">
      <c r="A92" s="114" t="n"/>
      <c r="B92" s="187" t="n"/>
      <c r="C92" s="112" t="n"/>
      <c r="D92" s="112" t="n"/>
      <c r="E92" s="112" t="n"/>
      <c r="F92" s="112" t="n"/>
      <c r="G92" s="112" t="n"/>
      <c r="H92" s="112" t="n"/>
      <c r="I92" s="112" t="n"/>
      <c r="J92" s="112" t="n"/>
      <c r="K92" s="113" t="n"/>
      <c r="L92" s="113" t="n"/>
      <c r="M92" s="113" t="n"/>
    </row>
    <row r="93" ht="13.5" customHeight="1" s="199">
      <c r="A93" s="114" t="n"/>
      <c r="B93" s="187" t="n"/>
      <c r="C93" s="112" t="n"/>
      <c r="D93" s="112" t="n"/>
      <c r="E93" s="112" t="n"/>
      <c r="F93" s="112" t="n"/>
      <c r="G93" s="112" t="n"/>
      <c r="H93" s="112" t="n"/>
      <c r="I93" s="112" t="n"/>
      <c r="J93" s="112" t="n"/>
      <c r="K93" s="113" t="n"/>
      <c r="L93" s="113" t="n"/>
      <c r="M93" s="113" t="n"/>
    </row>
    <row r="94" ht="13.5" customHeight="1" s="199">
      <c r="A94" s="114" t="n"/>
      <c r="B94" s="187" t="n"/>
      <c r="C94" s="112" t="n"/>
      <c r="D94" s="112" t="n"/>
      <c r="E94" s="112" t="n"/>
      <c r="F94" s="112" t="n"/>
      <c r="G94" s="112" t="n"/>
      <c r="H94" s="112" t="n"/>
      <c r="I94" s="112" t="n"/>
      <c r="J94" s="112" t="n"/>
      <c r="K94" s="113" t="n"/>
      <c r="L94" s="113" t="n"/>
      <c r="M94" s="113" t="n"/>
    </row>
    <row r="95" ht="13.5" customHeight="1" s="199">
      <c r="A95" s="114" t="n"/>
      <c r="B95" s="187" t="n"/>
      <c r="C95" s="112" t="n"/>
      <c r="D95" s="112" t="n"/>
      <c r="E95" s="112" t="n"/>
      <c r="F95" s="112" t="n"/>
      <c r="G95" s="112" t="n"/>
      <c r="H95" s="112" t="n"/>
      <c r="I95" s="112" t="n"/>
      <c r="J95" s="112" t="n"/>
      <c r="K95" s="113" t="n"/>
      <c r="L95" s="113" t="n"/>
      <c r="M95" s="113" t="n"/>
    </row>
    <row r="96" ht="13.5" customHeight="1" s="199">
      <c r="A96" s="114" t="n"/>
      <c r="B96" s="187" t="n"/>
      <c r="C96" s="112" t="n"/>
      <c r="D96" s="112" t="n"/>
      <c r="E96" s="112" t="n"/>
      <c r="F96" s="112" t="n"/>
      <c r="G96" s="112" t="n"/>
      <c r="H96" s="112" t="n"/>
      <c r="I96" s="112" t="n"/>
      <c r="J96" s="112" t="n"/>
      <c r="K96" s="113" t="n"/>
      <c r="L96" s="113" t="n"/>
      <c r="M96" s="113" t="n"/>
    </row>
    <row r="97" ht="13.5" customHeight="1" s="199">
      <c r="A97" s="114" t="n"/>
      <c r="B97" s="187" t="n"/>
      <c r="C97" s="112" t="n"/>
      <c r="D97" s="112" t="n"/>
      <c r="E97" s="112" t="n"/>
      <c r="F97" s="112" t="n"/>
      <c r="G97" s="112" t="n"/>
      <c r="H97" s="112" t="n"/>
      <c r="I97" s="112" t="n"/>
      <c r="J97" s="112" t="n"/>
      <c r="K97" s="113" t="n"/>
      <c r="L97" s="113" t="n"/>
      <c r="M97" s="113" t="n"/>
    </row>
    <row r="98" ht="13.5" customHeight="1" s="199">
      <c r="A98" s="114" t="n"/>
      <c r="B98" s="187" t="n"/>
      <c r="C98" s="112" t="n"/>
      <c r="D98" s="112" t="n"/>
      <c r="E98" s="112" t="n"/>
      <c r="F98" s="112" t="n"/>
      <c r="G98" s="112" t="n"/>
      <c r="H98" s="112" t="n"/>
      <c r="I98" s="112" t="n"/>
      <c r="J98" s="112" t="n"/>
      <c r="K98" s="113" t="n"/>
      <c r="L98" s="113" t="n"/>
      <c r="M98" s="113" t="n"/>
    </row>
    <row r="99" ht="13.5" customHeight="1" s="199">
      <c r="A99" s="114" t="n"/>
      <c r="B99" s="187" t="n"/>
      <c r="C99" s="112" t="n"/>
      <c r="D99" s="112" t="n"/>
      <c r="E99" s="112" t="n"/>
      <c r="F99" s="112" t="n"/>
      <c r="G99" s="112" t="n"/>
      <c r="H99" s="112" t="n"/>
      <c r="I99" s="112" t="n"/>
      <c r="J99" s="112" t="n"/>
      <c r="K99" s="113" t="n"/>
      <c r="L99" s="113" t="n"/>
      <c r="M99" s="113" t="n"/>
    </row>
    <row r="100" ht="13.5" customHeight="1" s="199">
      <c r="A100" s="114" t="n"/>
      <c r="B100" s="187" t="n"/>
      <c r="C100" s="112" t="n"/>
      <c r="D100" s="112" t="n"/>
      <c r="E100" s="112" t="n"/>
      <c r="F100" s="112" t="n"/>
      <c r="G100" s="112" t="n"/>
      <c r="H100" s="112" t="n"/>
      <c r="I100" s="112" t="n"/>
      <c r="J100" s="112" t="n"/>
      <c r="K100" s="113" t="n"/>
      <c r="L100" s="113" t="n"/>
      <c r="M100" s="113" t="n"/>
    </row>
    <row r="101" ht="13.5" customHeight="1" s="199">
      <c r="A101" s="114" t="n"/>
      <c r="B101" s="187" t="n"/>
      <c r="C101" s="112" t="n"/>
      <c r="D101" s="112" t="n"/>
      <c r="E101" s="112" t="n"/>
      <c r="F101" s="112" t="n"/>
      <c r="G101" s="112" t="n"/>
      <c r="H101" s="112" t="n"/>
      <c r="I101" s="112" t="n"/>
      <c r="J101" s="112" t="n"/>
      <c r="K101" s="113" t="n"/>
      <c r="L101" s="113" t="n"/>
      <c r="M101" s="113" t="n"/>
    </row>
    <row r="102" ht="13.5" customHeight="1" s="199">
      <c r="A102" s="114" t="n"/>
      <c r="B102" s="187" t="n"/>
      <c r="C102" s="112" t="n"/>
      <c r="D102" s="112" t="n"/>
      <c r="E102" s="112" t="n"/>
      <c r="F102" s="112" t="n"/>
      <c r="G102" s="112" t="n"/>
      <c r="H102" s="112" t="n"/>
      <c r="I102" s="112" t="n"/>
      <c r="J102" s="112" t="n"/>
      <c r="K102" s="113" t="n"/>
      <c r="L102" s="113" t="n"/>
      <c r="M102" s="113" t="n"/>
    </row>
    <row r="103" ht="13.5" customHeight="1" s="199">
      <c r="A103" s="114" t="n"/>
      <c r="B103" s="187" t="n"/>
      <c r="C103" s="112" t="n"/>
      <c r="D103" s="112" t="n"/>
      <c r="E103" s="112" t="n"/>
      <c r="F103" s="112" t="n"/>
      <c r="G103" s="112" t="n"/>
      <c r="H103" s="112" t="n"/>
      <c r="I103" s="112" t="n"/>
      <c r="J103" s="112" t="n"/>
      <c r="K103" s="113" t="n"/>
      <c r="L103" s="113" t="n"/>
      <c r="M103" s="113" t="n"/>
    </row>
    <row r="104" ht="13.5" customHeight="1" s="199">
      <c r="A104" s="114" t="n"/>
      <c r="B104" s="187" t="n"/>
      <c r="C104" s="112" t="n"/>
      <c r="D104" s="112" t="n"/>
      <c r="E104" s="112" t="n"/>
      <c r="F104" s="112" t="n"/>
      <c r="G104" s="112" t="n"/>
      <c r="H104" s="112" t="n"/>
      <c r="I104" s="112" t="n"/>
      <c r="J104" s="112" t="n"/>
      <c r="K104" s="113" t="n"/>
      <c r="L104" s="113" t="n"/>
      <c r="M104" s="113" t="n"/>
    </row>
    <row r="105" ht="13.5" customHeight="1" s="199">
      <c r="A105" s="114" t="n"/>
      <c r="B105" s="187" t="n"/>
      <c r="C105" s="112" t="n"/>
      <c r="D105" s="112" t="n"/>
      <c r="E105" s="112" t="n"/>
      <c r="F105" s="112" t="n"/>
      <c r="G105" s="112" t="n"/>
      <c r="H105" s="112" t="n"/>
      <c r="I105" s="112" t="n"/>
      <c r="J105" s="112" t="n"/>
      <c r="K105" s="113" t="n"/>
      <c r="L105" s="113" t="n"/>
      <c r="M105" s="113" t="n"/>
    </row>
    <row r="106" ht="13.5" customHeight="1" s="199">
      <c r="A106" s="114" t="n"/>
      <c r="B106" s="187" t="n"/>
      <c r="C106" s="112" t="n"/>
      <c r="D106" s="112" t="n"/>
      <c r="E106" s="112" t="n"/>
      <c r="F106" s="112" t="n"/>
      <c r="G106" s="112" t="n"/>
      <c r="H106" s="112" t="n"/>
      <c r="I106" s="112" t="n"/>
      <c r="J106" s="112" t="n"/>
      <c r="K106" s="113" t="n"/>
      <c r="L106" s="113" t="n"/>
      <c r="M106" s="113" t="n"/>
    </row>
    <row r="107" ht="13.5" customHeight="1" s="199">
      <c r="A107" s="114" t="n"/>
      <c r="B107" s="187" t="n"/>
      <c r="C107" s="112" t="n"/>
      <c r="D107" s="112" t="n"/>
      <c r="E107" s="112" t="n"/>
      <c r="F107" s="112" t="n"/>
      <c r="G107" s="112" t="n"/>
      <c r="H107" s="112" t="n"/>
      <c r="I107" s="112" t="n"/>
      <c r="J107" s="112" t="n"/>
      <c r="K107" s="113" t="n"/>
      <c r="L107" s="113" t="n"/>
      <c r="M107" s="113" t="n"/>
    </row>
    <row r="108" ht="13.5" customHeight="1" s="199">
      <c r="A108" s="114" t="n"/>
      <c r="B108" s="187" t="n"/>
      <c r="C108" s="112" t="n"/>
      <c r="D108" s="112" t="n"/>
      <c r="E108" s="112" t="n"/>
      <c r="F108" s="112" t="n"/>
      <c r="G108" s="112" t="n"/>
      <c r="H108" s="112" t="n"/>
      <c r="I108" s="112" t="n"/>
      <c r="J108" s="112" t="n"/>
      <c r="K108" s="113" t="n"/>
      <c r="L108" s="113" t="n"/>
      <c r="M108" s="113" t="n"/>
    </row>
    <row r="109" ht="13.5" customHeight="1" s="199">
      <c r="A109" s="114" t="n"/>
      <c r="B109" s="187" t="n"/>
      <c r="C109" s="112" t="n"/>
      <c r="D109" s="112" t="n"/>
      <c r="E109" s="112" t="n"/>
      <c r="F109" s="112" t="n"/>
      <c r="G109" s="112" t="n"/>
      <c r="H109" s="112" t="n"/>
      <c r="I109" s="112" t="n"/>
      <c r="J109" s="112" t="n"/>
      <c r="K109" s="113" t="n"/>
      <c r="L109" s="113" t="n"/>
      <c r="M109" s="113" t="n"/>
    </row>
    <row r="110" ht="13.5" customHeight="1" s="199">
      <c r="A110" s="114" t="n"/>
      <c r="B110" s="187" t="n"/>
      <c r="C110" s="112" t="n"/>
      <c r="D110" s="112" t="n"/>
      <c r="E110" s="112" t="n"/>
      <c r="F110" s="112" t="n"/>
      <c r="G110" s="112" t="n"/>
      <c r="H110" s="112" t="n"/>
      <c r="I110" s="112" t="n"/>
      <c r="J110" s="112" t="n"/>
      <c r="K110" s="113" t="n"/>
      <c r="L110" s="113" t="n"/>
      <c r="M110" s="113" t="n"/>
    </row>
    <row r="111" ht="13.5" customHeight="1" s="199">
      <c r="A111" s="114" t="n"/>
      <c r="B111" s="187" t="n"/>
      <c r="C111" s="112" t="n"/>
      <c r="D111" s="112" t="n"/>
      <c r="E111" s="112" t="n"/>
      <c r="F111" s="112" t="n"/>
      <c r="G111" s="112" t="n"/>
      <c r="H111" s="112" t="n"/>
      <c r="I111" s="112" t="n"/>
      <c r="J111" s="112" t="n"/>
      <c r="K111" s="113" t="n"/>
      <c r="L111" s="113" t="n"/>
      <c r="M111" s="113" t="n"/>
    </row>
    <row r="112" ht="13.5" customHeight="1" s="199">
      <c r="A112" s="114" t="n"/>
      <c r="B112" s="187" t="n"/>
      <c r="C112" s="112" t="n"/>
      <c r="D112" s="112" t="n"/>
      <c r="E112" s="112" t="n"/>
      <c r="F112" s="112" t="n"/>
      <c r="G112" s="112" t="n"/>
      <c r="H112" s="112" t="n"/>
      <c r="I112" s="112" t="n"/>
      <c r="J112" s="112" t="n"/>
      <c r="K112" s="113" t="n"/>
      <c r="L112" s="113" t="n"/>
      <c r="M112" s="113" t="n"/>
    </row>
    <row r="113" ht="13.5" customHeight="1" s="199">
      <c r="A113" s="114" t="n"/>
      <c r="B113" s="187" t="n"/>
      <c r="C113" s="112" t="n"/>
      <c r="D113" s="112" t="n"/>
      <c r="E113" s="112" t="n"/>
      <c r="F113" s="112" t="n"/>
      <c r="G113" s="112" t="n"/>
      <c r="H113" s="112" t="n"/>
      <c r="I113" s="112" t="n"/>
      <c r="J113" s="112" t="n"/>
      <c r="K113" s="113" t="n"/>
      <c r="L113" s="113" t="n"/>
      <c r="M113" s="113" t="n"/>
    </row>
    <row r="114" ht="13.5" customHeight="1" s="199">
      <c r="A114" s="114" t="n"/>
      <c r="B114" s="187" t="n"/>
      <c r="C114" s="112" t="n"/>
      <c r="D114" s="112" t="n"/>
      <c r="E114" s="112" t="n"/>
      <c r="F114" s="112" t="n"/>
      <c r="G114" s="112" t="n"/>
      <c r="H114" s="112" t="n"/>
      <c r="I114" s="112" t="n"/>
      <c r="J114" s="112" t="n"/>
      <c r="K114" s="113" t="n"/>
      <c r="L114" s="113" t="n"/>
      <c r="M114" s="113" t="n"/>
    </row>
    <row r="115" ht="13.5" customHeight="1" s="199">
      <c r="A115" s="114" t="n"/>
      <c r="B115" s="187" t="n"/>
      <c r="C115" s="112" t="n"/>
      <c r="D115" s="112" t="n"/>
      <c r="E115" s="112" t="n"/>
      <c r="F115" s="112" t="n"/>
      <c r="G115" s="112" t="n"/>
      <c r="H115" s="112" t="n"/>
      <c r="I115" s="112" t="n"/>
      <c r="J115" s="112" t="n"/>
      <c r="K115" s="113" t="n"/>
      <c r="L115" s="113" t="n"/>
      <c r="M115" s="113" t="n"/>
    </row>
    <row r="116" ht="13.5" customHeight="1" s="199">
      <c r="A116" s="114" t="n"/>
      <c r="B116" s="187" t="n"/>
      <c r="C116" s="112" t="n"/>
      <c r="D116" s="112" t="n"/>
      <c r="E116" s="112" t="n"/>
      <c r="F116" s="112" t="n"/>
      <c r="G116" s="112" t="n"/>
      <c r="H116" s="112" t="n"/>
      <c r="I116" s="112" t="n"/>
      <c r="J116" s="112" t="n"/>
      <c r="K116" s="113" t="n"/>
      <c r="L116" s="113" t="n"/>
      <c r="M116" s="113" t="n"/>
    </row>
    <row r="117" ht="13.5" customHeight="1" s="199">
      <c r="A117" s="114" t="n"/>
      <c r="B117" s="187" t="n"/>
      <c r="C117" s="112" t="n"/>
      <c r="D117" s="112" t="n"/>
      <c r="E117" s="112" t="n"/>
      <c r="F117" s="112" t="n"/>
      <c r="G117" s="112" t="n"/>
      <c r="H117" s="112" t="n"/>
      <c r="I117" s="112" t="n"/>
      <c r="J117" s="112" t="n"/>
      <c r="K117" s="113" t="n"/>
      <c r="L117" s="113" t="n"/>
      <c r="M117" s="113" t="n"/>
    </row>
    <row r="118" ht="13.5" customHeight="1" s="199">
      <c r="A118" s="114" t="n"/>
      <c r="B118" s="187" t="n"/>
      <c r="C118" s="112" t="n"/>
      <c r="D118" s="112" t="n"/>
      <c r="E118" s="112" t="n"/>
      <c r="F118" s="112" t="n"/>
      <c r="G118" s="112" t="n"/>
      <c r="H118" s="112" t="n"/>
      <c r="I118" s="112" t="n"/>
      <c r="J118" s="112" t="n"/>
      <c r="K118" s="113" t="n"/>
      <c r="L118" s="113" t="n"/>
      <c r="M118" s="113" t="n"/>
    </row>
    <row r="119" ht="13.5" customHeight="1" s="199">
      <c r="A119" s="114" t="n"/>
      <c r="B119" s="187" t="n"/>
      <c r="C119" s="112" t="n"/>
      <c r="D119" s="112" t="n"/>
      <c r="E119" s="112" t="n"/>
      <c r="F119" s="112" t="n"/>
      <c r="G119" s="112" t="n"/>
      <c r="H119" s="112" t="n"/>
      <c r="I119" s="112" t="n"/>
      <c r="J119" s="112" t="n"/>
      <c r="K119" s="113" t="n"/>
      <c r="L119" s="113" t="n"/>
      <c r="M119" s="113" t="n"/>
    </row>
    <row r="120" ht="13.5" customHeight="1" s="199">
      <c r="A120" s="114" t="n"/>
      <c r="B120" s="187" t="n"/>
      <c r="C120" s="112" t="n"/>
      <c r="D120" s="112" t="n"/>
      <c r="E120" s="112" t="n"/>
      <c r="F120" s="112" t="n"/>
      <c r="G120" s="112" t="n"/>
      <c r="H120" s="112" t="n"/>
      <c r="I120" s="112" t="n"/>
      <c r="J120" s="112" t="n"/>
      <c r="K120" s="113" t="n"/>
      <c r="L120" s="113" t="n"/>
      <c r="M120" s="113" t="n"/>
    </row>
    <row r="121" ht="13.5" customHeight="1" s="199">
      <c r="A121" s="114" t="n"/>
      <c r="B121" s="187" t="n"/>
      <c r="C121" s="112" t="n"/>
      <c r="D121" s="112" t="n"/>
      <c r="E121" s="112" t="n"/>
      <c r="F121" s="112" t="n"/>
      <c r="G121" s="112" t="n"/>
      <c r="H121" s="112" t="n"/>
      <c r="I121" s="112" t="n"/>
      <c r="J121" s="112" t="n"/>
      <c r="K121" s="113" t="n"/>
      <c r="L121" s="113" t="n"/>
      <c r="M121" s="113" t="n"/>
    </row>
    <row r="122" ht="13.5" customHeight="1" s="199">
      <c r="A122" s="114" t="n"/>
      <c r="B122" s="187" t="n"/>
      <c r="C122" s="112" t="n"/>
      <c r="D122" s="112" t="n"/>
      <c r="E122" s="112" t="n"/>
      <c r="F122" s="112" t="n"/>
      <c r="G122" s="112" t="n"/>
      <c r="H122" s="112" t="n"/>
      <c r="I122" s="112" t="n"/>
      <c r="J122" s="112" t="n"/>
      <c r="K122" s="113" t="n"/>
      <c r="L122" s="113" t="n"/>
      <c r="M122" s="113" t="n"/>
    </row>
    <row r="123" ht="13.5" customHeight="1" s="199">
      <c r="A123" s="114" t="n"/>
      <c r="B123" s="187" t="n"/>
      <c r="C123" s="112" t="n"/>
      <c r="D123" s="112" t="n"/>
      <c r="E123" s="112" t="n"/>
      <c r="F123" s="112" t="n"/>
      <c r="G123" s="112" t="n"/>
      <c r="H123" s="112" t="n"/>
      <c r="I123" s="112" t="n"/>
      <c r="J123" s="112" t="n"/>
      <c r="K123" s="113" t="n"/>
      <c r="L123" s="113" t="n"/>
      <c r="M123" s="113" t="n"/>
    </row>
    <row r="124" ht="13.5" customHeight="1" s="199">
      <c r="A124" s="114" t="n"/>
      <c r="B124" s="187" t="n"/>
      <c r="C124" s="112" t="n"/>
      <c r="D124" s="112" t="n"/>
      <c r="E124" s="112" t="n"/>
      <c r="F124" s="112" t="n"/>
      <c r="G124" s="112" t="n"/>
      <c r="H124" s="112" t="n"/>
      <c r="I124" s="112" t="n"/>
      <c r="J124" s="112" t="n"/>
      <c r="K124" s="113" t="n"/>
      <c r="L124" s="113" t="n"/>
      <c r="M124" s="113" t="n"/>
    </row>
    <row r="125" ht="13.5" customHeight="1" s="199">
      <c r="A125" s="114" t="n"/>
      <c r="B125" s="187" t="n"/>
      <c r="C125" s="112" t="n"/>
      <c r="D125" s="112" t="n"/>
      <c r="E125" s="112" t="n"/>
      <c r="F125" s="112" t="n"/>
      <c r="G125" s="112" t="n"/>
      <c r="H125" s="112" t="n"/>
      <c r="I125" s="112" t="n"/>
      <c r="J125" s="112" t="n"/>
      <c r="K125" s="113" t="n"/>
      <c r="L125" s="113" t="n"/>
      <c r="M125" s="113" t="n"/>
    </row>
    <row r="126" ht="13.5" customHeight="1" s="199">
      <c r="A126" s="114" t="n"/>
      <c r="B126" s="187" t="n"/>
      <c r="C126" s="112" t="n"/>
      <c r="D126" s="112" t="n"/>
      <c r="E126" s="112" t="n"/>
      <c r="F126" s="112" t="n"/>
      <c r="G126" s="112" t="n"/>
      <c r="H126" s="112" t="n"/>
      <c r="I126" s="112" t="n"/>
      <c r="J126" s="112" t="n"/>
      <c r="K126" s="113" t="n"/>
      <c r="L126" s="113" t="n"/>
      <c r="M126" s="113" t="n"/>
    </row>
    <row r="127" ht="13.5" customHeight="1" s="199">
      <c r="A127" s="114" t="n"/>
      <c r="B127" s="187" t="n"/>
      <c r="C127" s="112" t="n"/>
      <c r="D127" s="112" t="n"/>
      <c r="E127" s="112" t="n"/>
      <c r="F127" s="112" t="n"/>
      <c r="G127" s="112" t="n"/>
      <c r="H127" s="112" t="n"/>
      <c r="I127" s="112" t="n"/>
      <c r="J127" s="112" t="n"/>
      <c r="K127" s="113" t="n"/>
      <c r="L127" s="113" t="n"/>
      <c r="M127" s="113" t="n"/>
    </row>
    <row r="128" ht="13.5" customHeight="1" s="199">
      <c r="A128" s="114" t="n"/>
      <c r="B128" s="187" t="n"/>
      <c r="C128" s="112" t="n"/>
      <c r="D128" s="112" t="n"/>
      <c r="E128" s="112" t="n"/>
      <c r="F128" s="112" t="n"/>
      <c r="G128" s="112" t="n"/>
      <c r="H128" s="112" t="n"/>
      <c r="I128" s="112" t="n"/>
      <c r="J128" s="112" t="n"/>
      <c r="K128" s="113" t="n"/>
      <c r="L128" s="113" t="n"/>
      <c r="M128" s="113" t="n"/>
    </row>
    <row r="129" ht="13.5" customHeight="1" s="199">
      <c r="A129" s="114" t="n"/>
      <c r="B129" s="187" t="n"/>
      <c r="C129" s="112" t="n"/>
      <c r="D129" s="112" t="n"/>
      <c r="E129" s="112" t="n"/>
      <c r="F129" s="112" t="n"/>
      <c r="G129" s="112" t="n"/>
      <c r="H129" s="112" t="n"/>
      <c r="I129" s="112" t="n"/>
      <c r="J129" s="112" t="n"/>
      <c r="K129" s="113" t="n"/>
      <c r="L129" s="113" t="n"/>
      <c r="M129" s="113" t="n"/>
    </row>
    <row r="130" ht="13.5" customHeight="1" s="199">
      <c r="A130" s="114" t="n"/>
      <c r="B130" s="187" t="n"/>
      <c r="C130" s="112" t="n"/>
      <c r="D130" s="112" t="n"/>
      <c r="E130" s="112" t="n"/>
      <c r="F130" s="112" t="n"/>
      <c r="G130" s="112" t="n"/>
      <c r="H130" s="112" t="n"/>
      <c r="I130" s="112" t="n"/>
      <c r="J130" s="112" t="n"/>
      <c r="K130" s="113" t="n"/>
      <c r="L130" s="113" t="n"/>
      <c r="M130" s="113" t="n"/>
    </row>
    <row r="131" ht="13.5" customHeight="1" s="199">
      <c r="A131" s="114" t="n"/>
      <c r="B131" s="187" t="n"/>
      <c r="C131" s="112" t="n"/>
      <c r="D131" s="112" t="n"/>
      <c r="E131" s="112" t="n"/>
      <c r="F131" s="112" t="n"/>
      <c r="G131" s="112" t="n"/>
      <c r="H131" s="112" t="n"/>
      <c r="I131" s="112" t="n"/>
      <c r="J131" s="112" t="n"/>
      <c r="K131" s="113" t="n"/>
      <c r="L131" s="113" t="n"/>
      <c r="M131" s="113" t="n"/>
    </row>
    <row r="132" ht="13.5" customHeight="1" s="199">
      <c r="A132" s="114" t="n"/>
      <c r="B132" s="187" t="n"/>
      <c r="C132" s="112" t="n"/>
      <c r="D132" s="112" t="n"/>
      <c r="E132" s="112" t="n"/>
      <c r="F132" s="112" t="n"/>
      <c r="G132" s="112" t="n"/>
      <c r="H132" s="112" t="n"/>
      <c r="I132" s="112" t="n"/>
      <c r="J132" s="112" t="n"/>
      <c r="K132" s="113" t="n"/>
      <c r="L132" s="113" t="n"/>
      <c r="M132" s="113" t="n"/>
    </row>
    <row r="133" ht="13.5" customHeight="1" s="199">
      <c r="A133" s="114" t="n"/>
      <c r="B133" s="187" t="n"/>
      <c r="C133" s="112" t="n"/>
      <c r="D133" s="112" t="n"/>
      <c r="E133" s="112" t="n"/>
      <c r="F133" s="112" t="n"/>
      <c r="G133" s="112" t="n"/>
      <c r="H133" s="112" t="n"/>
      <c r="I133" s="112" t="n"/>
      <c r="J133" s="112" t="n"/>
      <c r="K133" s="113" t="n"/>
      <c r="L133" s="113" t="n"/>
      <c r="M133" s="113" t="n"/>
    </row>
    <row r="134" ht="13.5" customHeight="1" s="199">
      <c r="A134" s="114" t="n"/>
      <c r="B134" s="187" t="n"/>
      <c r="C134" s="112" t="n"/>
      <c r="D134" s="112" t="n"/>
      <c r="E134" s="112" t="n"/>
      <c r="F134" s="112" t="n"/>
      <c r="G134" s="112" t="n"/>
      <c r="H134" s="112" t="n"/>
      <c r="I134" s="112" t="n"/>
      <c r="J134" s="112" t="n"/>
      <c r="K134" s="113" t="n"/>
      <c r="L134" s="113" t="n"/>
      <c r="M134" s="113" t="n"/>
    </row>
    <row r="135" ht="13.5" customHeight="1" s="199">
      <c r="A135" s="114" t="n"/>
      <c r="B135" s="187" t="n"/>
      <c r="C135" s="112" t="n"/>
      <c r="D135" s="112" t="n"/>
      <c r="E135" s="112" t="n"/>
      <c r="F135" s="112" t="n"/>
      <c r="G135" s="112" t="n"/>
      <c r="H135" s="112" t="n"/>
      <c r="I135" s="112" t="n"/>
      <c r="J135" s="112" t="n"/>
      <c r="K135" s="113" t="n"/>
      <c r="L135" s="113" t="n"/>
      <c r="M135" s="113" t="n"/>
    </row>
    <row r="136" ht="13.5" customHeight="1" s="199">
      <c r="A136" s="114" t="n"/>
      <c r="B136" s="187" t="n"/>
      <c r="C136" s="112" t="n"/>
      <c r="D136" s="112" t="n"/>
      <c r="E136" s="112" t="n"/>
      <c r="F136" s="112" t="n"/>
      <c r="G136" s="112" t="n"/>
      <c r="H136" s="112" t="n"/>
      <c r="I136" s="112" t="n"/>
      <c r="J136" s="112" t="n"/>
      <c r="K136" s="113" t="n"/>
      <c r="L136" s="113" t="n"/>
      <c r="M136" s="113" t="n"/>
    </row>
    <row r="137" ht="13.5" customHeight="1" s="199">
      <c r="A137" s="114" t="n"/>
      <c r="B137" s="187" t="n"/>
      <c r="C137" s="112" t="n"/>
      <c r="D137" s="112" t="n"/>
      <c r="E137" s="112" t="n"/>
      <c r="F137" s="112" t="n"/>
      <c r="G137" s="112" t="n"/>
      <c r="H137" s="112" t="n"/>
      <c r="I137" s="112" t="n"/>
      <c r="J137" s="112" t="n"/>
      <c r="K137" s="113" t="n"/>
      <c r="L137" s="113" t="n"/>
      <c r="M137" s="113" t="n"/>
    </row>
    <row r="138" ht="13.5" customHeight="1" s="199">
      <c r="A138" s="114" t="n"/>
      <c r="B138" s="187" t="n"/>
      <c r="C138" s="112" t="n"/>
      <c r="D138" s="112" t="n"/>
      <c r="E138" s="112" t="n"/>
      <c r="F138" s="112" t="n"/>
      <c r="G138" s="112" t="n"/>
      <c r="H138" s="112" t="n"/>
      <c r="I138" s="112" t="n"/>
      <c r="J138" s="112" t="n"/>
      <c r="K138" s="113" t="n"/>
      <c r="L138" s="113" t="n"/>
      <c r="M138" s="113" t="n"/>
    </row>
    <row r="139" ht="13.5" customHeight="1" s="199">
      <c r="A139" s="114" t="n"/>
      <c r="B139" s="187" t="n"/>
      <c r="C139" s="112" t="n"/>
      <c r="D139" s="112" t="n"/>
      <c r="E139" s="112" t="n"/>
      <c r="F139" s="112" t="n"/>
      <c r="G139" s="112" t="n"/>
      <c r="H139" s="112" t="n"/>
      <c r="I139" s="112" t="n"/>
      <c r="J139" s="112" t="n"/>
      <c r="K139" s="113" t="n"/>
      <c r="L139" s="113" t="n"/>
      <c r="M139" s="113" t="n"/>
    </row>
    <row r="140" ht="13.5" customHeight="1" s="199">
      <c r="A140" s="114" t="n"/>
      <c r="B140" s="187" t="n"/>
      <c r="C140" s="112" t="n"/>
      <c r="D140" s="112" t="n"/>
      <c r="E140" s="112" t="n"/>
      <c r="F140" s="112" t="n"/>
      <c r="G140" s="112" t="n"/>
      <c r="H140" s="112" t="n"/>
      <c r="I140" s="112" t="n"/>
      <c r="J140" s="112" t="n"/>
      <c r="K140" s="113" t="n"/>
      <c r="L140" s="113" t="n"/>
      <c r="M140" s="113" t="n"/>
    </row>
    <row r="141" ht="13.5" customHeight="1" s="199">
      <c r="A141" s="114" t="n"/>
      <c r="B141" s="187" t="n"/>
      <c r="C141" s="112" t="n"/>
      <c r="D141" s="112" t="n"/>
      <c r="E141" s="112" t="n"/>
      <c r="F141" s="112" t="n"/>
      <c r="G141" s="112" t="n"/>
      <c r="H141" s="112" t="n"/>
      <c r="I141" s="112" t="n"/>
      <c r="J141" s="112" t="n"/>
      <c r="K141" s="113" t="n"/>
      <c r="L141" s="113" t="n"/>
      <c r="M141" s="113" t="n"/>
    </row>
    <row r="142" ht="13.5" customHeight="1" s="199">
      <c r="A142" s="114" t="n"/>
      <c r="B142" s="187" t="n"/>
      <c r="C142" s="112" t="n"/>
      <c r="D142" s="112" t="n"/>
      <c r="E142" s="112" t="n"/>
      <c r="F142" s="112" t="n"/>
      <c r="G142" s="112" t="n"/>
      <c r="H142" s="112" t="n"/>
      <c r="I142" s="112" t="n"/>
      <c r="J142" s="112" t="n"/>
      <c r="K142" s="113" t="n"/>
      <c r="L142" s="113" t="n"/>
      <c r="M142" s="113" t="n"/>
    </row>
    <row r="143" ht="13.5" customHeight="1" s="199">
      <c r="A143" s="114" t="n"/>
      <c r="B143" s="187" t="n"/>
      <c r="C143" s="112" t="n"/>
      <c r="D143" s="112" t="n"/>
      <c r="E143" s="112" t="n"/>
      <c r="F143" s="112" t="n"/>
      <c r="G143" s="112" t="n"/>
      <c r="H143" s="112" t="n"/>
      <c r="I143" s="112" t="n"/>
      <c r="J143" s="112" t="n"/>
      <c r="K143" s="113" t="n"/>
      <c r="L143" s="113" t="n"/>
      <c r="M143" s="113" t="n"/>
    </row>
    <row r="144" ht="13.5" customHeight="1" s="199">
      <c r="A144" s="114" t="n"/>
      <c r="B144" s="187" t="n"/>
      <c r="C144" s="112" t="n"/>
      <c r="D144" s="112" t="n"/>
      <c r="E144" s="112" t="n"/>
      <c r="F144" s="112" t="n"/>
      <c r="G144" s="112" t="n"/>
      <c r="H144" s="112" t="n"/>
      <c r="I144" s="112" t="n"/>
      <c r="J144" s="112" t="n"/>
      <c r="K144" s="113" t="n"/>
      <c r="L144" s="113" t="n"/>
      <c r="M144" s="113" t="n"/>
    </row>
    <row r="145" ht="13.5" customHeight="1" s="199">
      <c r="A145" s="114" t="n"/>
      <c r="B145" s="187" t="n"/>
      <c r="C145" s="112" t="n"/>
      <c r="D145" s="112" t="n"/>
      <c r="E145" s="112" t="n"/>
      <c r="F145" s="112" t="n"/>
      <c r="G145" s="112" t="n"/>
      <c r="H145" s="112" t="n"/>
      <c r="I145" s="112" t="n"/>
      <c r="J145" s="112" t="n"/>
      <c r="K145" s="113" t="n"/>
      <c r="L145" s="113" t="n"/>
      <c r="M145" s="113" t="n"/>
    </row>
    <row r="146" ht="13.5" customHeight="1" s="199">
      <c r="A146" s="114" t="n"/>
      <c r="B146" s="187" t="n"/>
      <c r="C146" s="112" t="n"/>
      <c r="D146" s="112" t="n"/>
      <c r="E146" s="112" t="n"/>
      <c r="F146" s="112" t="n"/>
      <c r="G146" s="112" t="n"/>
      <c r="H146" s="112" t="n"/>
      <c r="I146" s="112" t="n"/>
      <c r="J146" s="112" t="n"/>
      <c r="K146" s="113" t="n"/>
      <c r="L146" s="113" t="n"/>
      <c r="M146" s="113" t="n"/>
    </row>
    <row r="147" ht="13.5" customHeight="1" s="199">
      <c r="A147" s="114" t="n"/>
      <c r="B147" s="187" t="n"/>
      <c r="C147" s="112" t="n"/>
      <c r="D147" s="112" t="n"/>
      <c r="E147" s="112" t="n"/>
      <c r="F147" s="112" t="n"/>
      <c r="G147" s="112" t="n"/>
      <c r="H147" s="112" t="n"/>
      <c r="I147" s="112" t="n"/>
      <c r="J147" s="112" t="n"/>
      <c r="K147" s="113" t="n"/>
      <c r="L147" s="113" t="n"/>
      <c r="M147" s="113" t="n"/>
    </row>
    <row r="148" ht="13.5" customHeight="1" s="199">
      <c r="A148" s="114" t="n"/>
      <c r="B148" s="187" t="n"/>
      <c r="C148" s="112" t="n"/>
      <c r="D148" s="112" t="n"/>
      <c r="E148" s="112" t="n"/>
      <c r="F148" s="112" t="n"/>
      <c r="G148" s="112" t="n"/>
      <c r="H148" s="112" t="n"/>
      <c r="I148" s="112" t="n"/>
      <c r="J148" s="112" t="n"/>
      <c r="K148" s="113" t="n"/>
      <c r="L148" s="113" t="n"/>
      <c r="M148" s="113" t="n"/>
    </row>
    <row r="149" ht="13.5" customHeight="1" s="199">
      <c r="A149" s="114" t="n"/>
      <c r="B149" s="187" t="n"/>
      <c r="C149" s="112" t="n"/>
      <c r="D149" s="112" t="n"/>
      <c r="E149" s="112" t="n"/>
      <c r="F149" s="112" t="n"/>
      <c r="G149" s="112" t="n"/>
      <c r="H149" s="112" t="n"/>
      <c r="I149" s="112" t="n"/>
      <c r="J149" s="112" t="n"/>
      <c r="K149" s="113" t="n"/>
      <c r="L149" s="113" t="n"/>
      <c r="M149" s="113" t="n"/>
    </row>
    <row r="150" ht="13.5" customHeight="1" s="199">
      <c r="A150" s="114" t="n"/>
      <c r="B150" s="187" t="n"/>
      <c r="C150" s="112" t="n"/>
      <c r="D150" s="112" t="n"/>
      <c r="E150" s="112" t="n"/>
      <c r="F150" s="112" t="n"/>
      <c r="G150" s="112" t="n"/>
      <c r="H150" s="112" t="n"/>
      <c r="I150" s="112" t="n"/>
      <c r="J150" s="112" t="n"/>
      <c r="K150" s="113" t="n"/>
      <c r="L150" s="113" t="n"/>
      <c r="M150" s="113" t="n"/>
    </row>
    <row r="151" ht="13.5" customHeight="1" s="199">
      <c r="A151" s="114" t="n"/>
      <c r="B151" s="187" t="n"/>
      <c r="C151" s="112" t="n"/>
      <c r="D151" s="112" t="n"/>
      <c r="E151" s="112" t="n"/>
      <c r="F151" s="112" t="n"/>
      <c r="G151" s="112" t="n"/>
      <c r="H151" s="112" t="n"/>
      <c r="I151" s="112" t="n"/>
      <c r="J151" s="112" t="n"/>
      <c r="K151" s="113" t="n"/>
      <c r="L151" s="113" t="n"/>
      <c r="M151" s="113" t="n"/>
    </row>
    <row r="152" ht="13.5" customHeight="1" s="199">
      <c r="A152" s="114" t="n"/>
      <c r="B152" s="187" t="n"/>
      <c r="C152" s="112" t="n"/>
      <c r="D152" s="112" t="n"/>
      <c r="E152" s="112" t="n"/>
      <c r="F152" s="112" t="n"/>
      <c r="G152" s="112" t="n"/>
      <c r="H152" s="112" t="n"/>
      <c r="I152" s="112" t="n"/>
      <c r="J152" s="112" t="n"/>
      <c r="K152" s="113" t="n"/>
      <c r="L152" s="113" t="n"/>
      <c r="M152" s="113" t="n"/>
    </row>
    <row r="153" ht="13.5" customHeight="1" s="199">
      <c r="A153" s="114" t="n"/>
      <c r="B153" s="187" t="n"/>
      <c r="C153" s="112" t="n"/>
      <c r="D153" s="112" t="n"/>
      <c r="E153" s="112" t="n"/>
      <c r="F153" s="112" t="n"/>
      <c r="G153" s="112" t="n"/>
      <c r="H153" s="112" t="n"/>
      <c r="I153" s="112" t="n"/>
      <c r="J153" s="112" t="n"/>
      <c r="K153" s="113" t="n"/>
      <c r="L153" s="113" t="n"/>
      <c r="M153" s="113" t="n"/>
    </row>
    <row r="154" ht="13.5" customHeight="1" s="199">
      <c r="A154" s="114" t="n"/>
      <c r="B154" s="187" t="n"/>
      <c r="C154" s="112" t="n"/>
      <c r="D154" s="112" t="n"/>
      <c r="E154" s="112" t="n"/>
      <c r="F154" s="112" t="n"/>
      <c r="G154" s="112" t="n"/>
      <c r="H154" s="112" t="n"/>
      <c r="I154" s="112" t="n"/>
      <c r="J154" s="112" t="n"/>
      <c r="K154" s="113" t="n"/>
      <c r="L154" s="113" t="n"/>
      <c r="M154" s="113" t="n"/>
    </row>
    <row r="155" ht="13.5" customHeight="1" s="199">
      <c r="A155" s="114" t="n"/>
      <c r="B155" s="187" t="n"/>
      <c r="C155" s="112" t="n"/>
      <c r="D155" s="112" t="n"/>
      <c r="E155" s="112" t="n"/>
      <c r="F155" s="112" t="n"/>
      <c r="G155" s="112" t="n"/>
      <c r="H155" s="112" t="n"/>
      <c r="I155" s="112" t="n"/>
      <c r="J155" s="112" t="n"/>
      <c r="K155" s="113" t="n"/>
      <c r="L155" s="113" t="n"/>
      <c r="M155" s="113" t="n"/>
    </row>
    <row r="156" ht="13.5" customHeight="1" s="199">
      <c r="A156" s="114" t="n"/>
      <c r="B156" s="187" t="n"/>
      <c r="C156" s="112" t="n"/>
      <c r="D156" s="112" t="n"/>
      <c r="E156" s="112" t="n"/>
      <c r="F156" s="112" t="n"/>
      <c r="G156" s="112" t="n"/>
      <c r="H156" s="112" t="n"/>
      <c r="I156" s="112" t="n"/>
      <c r="J156" s="112" t="n"/>
      <c r="K156" s="113" t="n"/>
      <c r="L156" s="113" t="n"/>
      <c r="M156" s="113" t="n"/>
    </row>
    <row r="157" ht="13.5" customHeight="1" s="199">
      <c r="A157" s="114" t="n"/>
      <c r="B157" s="187" t="n"/>
      <c r="C157" s="112" t="n"/>
      <c r="D157" s="112" t="n"/>
      <c r="E157" s="112" t="n"/>
      <c r="F157" s="112" t="n"/>
      <c r="G157" s="112" t="n"/>
      <c r="H157" s="112" t="n"/>
      <c r="I157" s="112" t="n"/>
      <c r="J157" s="112" t="n"/>
      <c r="K157" s="113" t="n"/>
      <c r="L157" s="113" t="n"/>
      <c r="M157" s="113" t="n"/>
    </row>
    <row r="158" ht="13.5" customHeight="1" s="199">
      <c r="A158" s="114" t="n"/>
      <c r="B158" s="187" t="n"/>
      <c r="C158" s="112" t="n"/>
      <c r="D158" s="112" t="n"/>
      <c r="E158" s="112" t="n"/>
      <c r="F158" s="112" t="n"/>
      <c r="G158" s="112" t="n"/>
      <c r="H158" s="112" t="n"/>
      <c r="I158" s="112" t="n"/>
      <c r="J158" s="112" t="n"/>
      <c r="K158" s="113" t="n"/>
      <c r="L158" s="113" t="n"/>
      <c r="M158" s="113" t="n"/>
    </row>
    <row r="159" ht="13.5" customHeight="1" s="199">
      <c r="A159" s="114" t="n"/>
      <c r="B159" s="187" t="n"/>
      <c r="C159" s="112" t="n"/>
      <c r="D159" s="112" t="n"/>
      <c r="E159" s="112" t="n"/>
      <c r="F159" s="112" t="n"/>
      <c r="G159" s="112" t="n"/>
      <c r="H159" s="112" t="n"/>
      <c r="I159" s="112" t="n"/>
      <c r="J159" s="112" t="n"/>
      <c r="K159" s="113" t="n"/>
      <c r="L159" s="113" t="n"/>
      <c r="M159" s="113" t="n"/>
    </row>
    <row r="160" ht="13.5" customHeight="1" s="199">
      <c r="A160" s="114" t="n"/>
      <c r="B160" s="187" t="n"/>
      <c r="C160" s="112" t="n"/>
      <c r="D160" s="112" t="n"/>
      <c r="E160" s="112" t="n"/>
      <c r="F160" s="112" t="n"/>
      <c r="G160" s="112" t="n"/>
      <c r="H160" s="112" t="n"/>
      <c r="I160" s="112" t="n"/>
      <c r="J160" s="112" t="n"/>
      <c r="K160" s="113" t="n"/>
      <c r="L160" s="113" t="n"/>
      <c r="M160" s="113" t="n"/>
    </row>
    <row r="161" ht="13.5" customHeight="1" s="199">
      <c r="A161" s="114" t="n"/>
      <c r="B161" s="187" t="n"/>
      <c r="C161" s="112" t="n"/>
      <c r="D161" s="112" t="n"/>
      <c r="E161" s="112" t="n"/>
      <c r="F161" s="112" t="n"/>
      <c r="G161" s="112" t="n"/>
      <c r="H161" s="112" t="n"/>
      <c r="I161" s="112" t="n"/>
      <c r="J161" s="112" t="n"/>
      <c r="K161" s="113" t="n"/>
      <c r="L161" s="113" t="n"/>
      <c r="M161" s="113" t="n"/>
    </row>
    <row r="162" ht="13.5" customHeight="1" s="199">
      <c r="A162" s="114" t="n"/>
      <c r="B162" s="187" t="n"/>
      <c r="C162" s="112" t="n"/>
      <c r="D162" s="112" t="n"/>
      <c r="E162" s="112" t="n"/>
      <c r="F162" s="112" t="n"/>
      <c r="G162" s="112" t="n"/>
      <c r="H162" s="112" t="n"/>
      <c r="I162" s="112" t="n"/>
      <c r="J162" s="112" t="n"/>
      <c r="K162" s="113" t="n"/>
      <c r="L162" s="113" t="n"/>
      <c r="M162" s="113" t="n"/>
    </row>
    <row r="163" ht="13.5" customHeight="1" s="199">
      <c r="A163" s="114" t="n"/>
      <c r="B163" s="187" t="n"/>
      <c r="C163" s="112" t="n"/>
      <c r="D163" s="112" t="n"/>
      <c r="E163" s="112" t="n"/>
      <c r="F163" s="112" t="n"/>
      <c r="G163" s="112" t="n"/>
      <c r="H163" s="112" t="n"/>
      <c r="I163" s="112" t="n"/>
      <c r="J163" s="112" t="n"/>
      <c r="K163" s="113" t="n"/>
      <c r="L163" s="113" t="n"/>
      <c r="M163" s="113" t="n"/>
    </row>
    <row r="164" ht="13.5" customHeight="1" s="199">
      <c r="A164" s="114" t="n"/>
      <c r="B164" s="187" t="n"/>
      <c r="C164" s="112" t="n"/>
      <c r="D164" s="112" t="n"/>
      <c r="E164" s="112" t="n"/>
      <c r="F164" s="112" t="n"/>
      <c r="G164" s="112" t="n"/>
      <c r="H164" s="112" t="n"/>
      <c r="I164" s="112" t="n"/>
      <c r="J164" s="112" t="n"/>
      <c r="K164" s="113" t="n"/>
      <c r="L164" s="113" t="n"/>
      <c r="M164" s="113" t="n"/>
    </row>
    <row r="165" ht="13.5" customHeight="1" s="199">
      <c r="A165" s="114" t="n"/>
      <c r="B165" s="187" t="n"/>
      <c r="C165" s="112" t="n"/>
      <c r="D165" s="112" t="n"/>
      <c r="E165" s="112" t="n"/>
      <c r="F165" s="112" t="n"/>
      <c r="G165" s="112" t="n"/>
      <c r="H165" s="112" t="n"/>
      <c r="I165" s="112" t="n"/>
      <c r="J165" s="112" t="n"/>
      <c r="K165" s="113" t="n"/>
      <c r="L165" s="113" t="n"/>
      <c r="M165" s="113" t="n"/>
    </row>
    <row r="166" ht="13.5" customHeight="1" s="199">
      <c r="A166" s="114" t="n"/>
      <c r="B166" s="187" t="n"/>
      <c r="C166" s="112" t="n"/>
      <c r="D166" s="112" t="n"/>
      <c r="E166" s="112" t="n"/>
      <c r="F166" s="112" t="n"/>
      <c r="G166" s="112" t="n"/>
      <c r="H166" s="112" t="n"/>
      <c r="I166" s="112" t="n"/>
      <c r="J166" s="112" t="n"/>
      <c r="K166" s="113" t="n"/>
      <c r="L166" s="113" t="n"/>
      <c r="M166" s="113" t="n"/>
    </row>
    <row r="167" ht="13.5" customHeight="1" s="199">
      <c r="A167" s="114" t="n"/>
      <c r="B167" s="187" t="n"/>
      <c r="C167" s="112" t="n"/>
      <c r="D167" s="112" t="n"/>
      <c r="E167" s="112" t="n"/>
      <c r="F167" s="112" t="n"/>
      <c r="G167" s="112" t="n"/>
      <c r="H167" s="112" t="n"/>
      <c r="I167" s="112" t="n"/>
      <c r="J167" s="112" t="n"/>
      <c r="K167" s="113" t="n"/>
      <c r="L167" s="113" t="n"/>
      <c r="M167" s="113" t="n"/>
    </row>
    <row r="168" ht="13.5" customHeight="1" s="199">
      <c r="A168" s="114" t="n"/>
      <c r="B168" s="187" t="n"/>
      <c r="C168" s="112" t="n"/>
      <c r="D168" s="112" t="n"/>
      <c r="E168" s="112" t="n"/>
      <c r="F168" s="112" t="n"/>
      <c r="G168" s="112" t="n"/>
      <c r="H168" s="112" t="n"/>
      <c r="I168" s="112" t="n"/>
      <c r="J168" s="112" t="n"/>
      <c r="K168" s="113" t="n"/>
      <c r="L168" s="113" t="n"/>
      <c r="M168" s="113" t="n"/>
    </row>
    <row r="169" ht="13.5" customHeight="1" s="199">
      <c r="A169" s="114" t="n"/>
      <c r="B169" s="187" t="n"/>
      <c r="C169" s="112" t="n"/>
      <c r="D169" s="112" t="n"/>
      <c r="E169" s="112" t="n"/>
      <c r="F169" s="112" t="n"/>
      <c r="G169" s="112" t="n"/>
      <c r="H169" s="112" t="n"/>
      <c r="I169" s="112" t="n"/>
      <c r="J169" s="112" t="n"/>
      <c r="K169" s="113" t="n"/>
      <c r="L169" s="113" t="n"/>
      <c r="M169" s="113" t="n"/>
    </row>
    <row r="170" ht="13.5" customHeight="1" s="199">
      <c r="A170" s="114" t="n"/>
      <c r="B170" s="187" t="n"/>
      <c r="C170" s="112" t="n"/>
      <c r="D170" s="112" t="n"/>
      <c r="E170" s="112" t="n"/>
      <c r="F170" s="112" t="n"/>
      <c r="G170" s="112" t="n"/>
      <c r="H170" s="112" t="n"/>
      <c r="I170" s="112" t="n"/>
      <c r="J170" s="112" t="n"/>
      <c r="K170" s="113" t="n"/>
      <c r="L170" s="113" t="n"/>
      <c r="M170" s="113" t="n"/>
    </row>
    <row r="171" ht="13.5" customHeight="1" s="199">
      <c r="A171" s="114" t="n"/>
      <c r="B171" s="187" t="n"/>
      <c r="C171" s="112" t="n"/>
      <c r="D171" s="112" t="n"/>
      <c r="E171" s="112" t="n"/>
      <c r="F171" s="112" t="n"/>
      <c r="G171" s="112" t="n"/>
      <c r="H171" s="112" t="n"/>
      <c r="I171" s="112" t="n"/>
      <c r="J171" s="112" t="n"/>
      <c r="K171" s="113" t="n"/>
      <c r="L171" s="113" t="n"/>
      <c r="M171" s="113" t="n"/>
    </row>
    <row r="172" ht="13.5" customHeight="1" s="199">
      <c r="A172" s="114" t="n"/>
      <c r="B172" s="187" t="n"/>
      <c r="C172" s="112" t="n"/>
      <c r="D172" s="112" t="n"/>
      <c r="E172" s="112" t="n"/>
      <c r="F172" s="112" t="n"/>
      <c r="G172" s="112" t="n"/>
      <c r="H172" s="112" t="n"/>
      <c r="I172" s="112" t="n"/>
      <c r="J172" s="112" t="n"/>
      <c r="K172" s="113" t="n"/>
      <c r="L172" s="113" t="n"/>
      <c r="M172" s="113" t="n"/>
    </row>
    <row r="173" ht="13.5" customHeight="1" s="199">
      <c r="A173" s="114" t="n"/>
      <c r="B173" s="187" t="n"/>
      <c r="C173" s="112" t="n"/>
      <c r="D173" s="112" t="n"/>
      <c r="E173" s="112" t="n"/>
      <c r="F173" s="112" t="n"/>
      <c r="G173" s="112" t="n"/>
      <c r="H173" s="112" t="n"/>
      <c r="I173" s="112" t="n"/>
      <c r="J173" s="112" t="n"/>
      <c r="K173" s="113" t="n"/>
      <c r="L173" s="113" t="n"/>
      <c r="M173" s="113" t="n"/>
    </row>
    <row r="174" ht="13.5" customHeight="1" s="199">
      <c r="A174" s="114" t="n"/>
      <c r="B174" s="187" t="n"/>
      <c r="C174" s="112" t="n"/>
      <c r="D174" s="112" t="n"/>
      <c r="E174" s="112" t="n"/>
      <c r="F174" s="112" t="n"/>
      <c r="G174" s="112" t="n"/>
      <c r="H174" s="112" t="n"/>
      <c r="I174" s="112" t="n"/>
      <c r="J174" s="112" t="n"/>
      <c r="K174" s="113" t="n"/>
      <c r="L174" s="113" t="n"/>
      <c r="M174" s="113" t="n"/>
    </row>
    <row r="175" ht="13.5" customHeight="1" s="199">
      <c r="A175" s="114" t="n"/>
      <c r="B175" s="187" t="n"/>
      <c r="C175" s="112" t="n"/>
      <c r="D175" s="112" t="n"/>
      <c r="E175" s="112" t="n"/>
      <c r="F175" s="112" t="n"/>
      <c r="G175" s="112" t="n"/>
      <c r="H175" s="112" t="n"/>
      <c r="I175" s="112" t="n"/>
      <c r="J175" s="112" t="n"/>
      <c r="K175" s="113" t="n"/>
      <c r="L175" s="113" t="n"/>
      <c r="M175" s="113" t="n"/>
    </row>
    <row r="176" ht="13.5" customHeight="1" s="199">
      <c r="A176" s="114" t="n"/>
      <c r="B176" s="187" t="n"/>
      <c r="C176" s="112" t="n"/>
      <c r="D176" s="112" t="n"/>
      <c r="E176" s="112" t="n"/>
      <c r="F176" s="112" t="n"/>
      <c r="G176" s="112" t="n"/>
      <c r="H176" s="112" t="n"/>
      <c r="I176" s="112" t="n"/>
      <c r="J176" s="112" t="n"/>
      <c r="K176" s="113" t="n"/>
      <c r="L176" s="113" t="n"/>
      <c r="M176" s="113" t="n"/>
    </row>
    <row r="177" ht="13.5" customHeight="1" s="199">
      <c r="A177" s="114" t="n"/>
      <c r="B177" s="187" t="n"/>
      <c r="C177" s="112" t="n"/>
      <c r="D177" s="112" t="n"/>
      <c r="E177" s="112" t="n"/>
      <c r="F177" s="112" t="n"/>
      <c r="G177" s="112" t="n"/>
      <c r="H177" s="112" t="n"/>
      <c r="I177" s="112" t="n"/>
      <c r="J177" s="112" t="n"/>
      <c r="K177" s="113" t="n"/>
      <c r="L177" s="113" t="n"/>
      <c r="M177" s="113" t="n"/>
    </row>
    <row r="178" ht="13.5" customHeight="1" s="199">
      <c r="A178" s="114" t="n"/>
      <c r="B178" s="187" t="n"/>
      <c r="C178" s="112" t="n"/>
      <c r="D178" s="112" t="n"/>
      <c r="E178" s="112" t="n"/>
      <c r="F178" s="112" t="n"/>
      <c r="G178" s="112" t="n"/>
      <c r="H178" s="112" t="n"/>
      <c r="I178" s="112" t="n"/>
      <c r="J178" s="112" t="n"/>
      <c r="K178" s="113" t="n"/>
      <c r="L178" s="113" t="n"/>
      <c r="M178" s="113" t="n"/>
    </row>
    <row r="179" ht="13.5" customHeight="1" s="199">
      <c r="A179" s="114" t="n"/>
      <c r="B179" s="187" t="n"/>
      <c r="C179" s="112" t="n"/>
      <c r="D179" s="112" t="n"/>
      <c r="E179" s="112" t="n"/>
      <c r="F179" s="112" t="n"/>
      <c r="G179" s="112" t="n"/>
      <c r="H179" s="112" t="n"/>
      <c r="I179" s="112" t="n"/>
      <c r="J179" s="112" t="n"/>
      <c r="K179" s="113" t="n"/>
      <c r="L179" s="113" t="n"/>
      <c r="M179" s="113" t="n"/>
    </row>
    <row r="180" ht="13.5" customHeight="1" s="199">
      <c r="A180" s="114" t="n"/>
      <c r="B180" s="187" t="n"/>
      <c r="C180" s="112" t="n"/>
      <c r="D180" s="112" t="n"/>
      <c r="E180" s="112" t="n"/>
      <c r="F180" s="112" t="n"/>
      <c r="G180" s="112" t="n"/>
      <c r="H180" s="112" t="n"/>
      <c r="I180" s="112" t="n"/>
      <c r="J180" s="112" t="n"/>
      <c r="K180" s="113" t="n"/>
      <c r="L180" s="113" t="n"/>
      <c r="M180" s="113" t="n"/>
    </row>
    <row r="181" ht="13.5" customHeight="1" s="199">
      <c r="A181" s="114" t="n"/>
      <c r="B181" s="187" t="n"/>
      <c r="C181" s="112" t="n"/>
      <c r="D181" s="112" t="n"/>
      <c r="E181" s="112" t="n"/>
      <c r="F181" s="112" t="n"/>
      <c r="G181" s="112" t="n"/>
      <c r="H181" s="112" t="n"/>
      <c r="I181" s="112" t="n"/>
      <c r="J181" s="112" t="n"/>
      <c r="K181" s="113" t="n"/>
      <c r="L181" s="113" t="n"/>
      <c r="M181" s="113" t="n"/>
    </row>
    <row r="182" ht="13.5" customHeight="1" s="199">
      <c r="A182" s="114" t="n"/>
      <c r="B182" s="187" t="n"/>
      <c r="C182" s="112" t="n"/>
      <c r="D182" s="112" t="n"/>
      <c r="E182" s="112" t="n"/>
      <c r="F182" s="112" t="n"/>
      <c r="G182" s="112" t="n"/>
      <c r="H182" s="112" t="n"/>
      <c r="I182" s="112" t="n"/>
      <c r="J182" s="112" t="n"/>
      <c r="K182" s="113" t="n"/>
      <c r="L182" s="113" t="n"/>
      <c r="M182" s="113" t="n"/>
    </row>
    <row r="183" ht="13.5" customHeight="1" s="199">
      <c r="A183" s="114" t="n"/>
      <c r="B183" s="187" t="n"/>
      <c r="C183" s="112" t="n"/>
      <c r="D183" s="112" t="n"/>
      <c r="E183" s="112" t="n"/>
      <c r="F183" s="112" t="n"/>
      <c r="G183" s="112" t="n"/>
      <c r="H183" s="112" t="n"/>
      <c r="I183" s="112" t="n"/>
      <c r="J183" s="112" t="n"/>
      <c r="K183" s="113" t="n"/>
      <c r="L183" s="113" t="n"/>
      <c r="M183" s="113" t="n"/>
    </row>
    <row r="184" ht="13.5" customHeight="1" s="199">
      <c r="A184" s="114" t="n"/>
      <c r="B184" s="187" t="n"/>
      <c r="C184" s="112" t="n"/>
      <c r="D184" s="112" t="n"/>
      <c r="E184" s="112" t="n"/>
      <c r="F184" s="112" t="n"/>
      <c r="G184" s="112" t="n"/>
      <c r="H184" s="112" t="n"/>
      <c r="I184" s="112" t="n"/>
      <c r="J184" s="112" t="n"/>
      <c r="K184" s="113" t="n"/>
      <c r="L184" s="113" t="n"/>
      <c r="M184" s="113" t="n"/>
    </row>
    <row r="185" ht="13.5" customHeight="1" s="199">
      <c r="A185" s="114" t="n"/>
      <c r="B185" s="187" t="n"/>
      <c r="C185" s="112" t="n"/>
      <c r="D185" s="112" t="n"/>
      <c r="E185" s="112" t="n"/>
      <c r="F185" s="112" t="n"/>
      <c r="G185" s="112" t="n"/>
      <c r="H185" s="112" t="n"/>
      <c r="I185" s="112" t="n"/>
      <c r="J185" s="112" t="n"/>
      <c r="K185" s="113" t="n"/>
      <c r="L185" s="113" t="n"/>
      <c r="M185" s="113" t="n"/>
    </row>
    <row r="186" ht="13.5" customHeight="1" s="199">
      <c r="A186" s="114" t="n"/>
      <c r="B186" s="187" t="n"/>
      <c r="C186" s="112" t="n"/>
      <c r="D186" s="112" t="n"/>
      <c r="E186" s="112" t="n"/>
      <c r="F186" s="112" t="n"/>
      <c r="G186" s="112" t="n"/>
      <c r="H186" s="112" t="n"/>
      <c r="I186" s="112" t="n"/>
      <c r="J186" s="112" t="n"/>
      <c r="K186" s="113" t="n"/>
      <c r="L186" s="113" t="n"/>
      <c r="M186" s="113" t="n"/>
    </row>
    <row r="187" ht="13.5" customHeight="1" s="199">
      <c r="A187" s="114" t="n"/>
      <c r="B187" s="187" t="n"/>
      <c r="C187" s="112" t="n"/>
      <c r="D187" s="112" t="n"/>
      <c r="E187" s="112" t="n"/>
      <c r="F187" s="112" t="n"/>
      <c r="G187" s="112" t="n"/>
      <c r="H187" s="112" t="n"/>
      <c r="I187" s="112" t="n"/>
      <c r="J187" s="112" t="n"/>
      <c r="K187" s="113" t="n"/>
      <c r="L187" s="113" t="n"/>
      <c r="M187" s="113" t="n"/>
    </row>
    <row r="188" ht="13.5" customHeight="1" s="199">
      <c r="A188" s="114" t="n"/>
      <c r="B188" s="187" t="n"/>
      <c r="C188" s="112" t="n"/>
      <c r="D188" s="112" t="n"/>
      <c r="E188" s="112" t="n"/>
      <c r="F188" s="112" t="n"/>
      <c r="G188" s="112" t="n"/>
      <c r="H188" s="112" t="n"/>
      <c r="I188" s="112" t="n"/>
      <c r="J188" s="112" t="n"/>
      <c r="K188" s="113" t="n"/>
      <c r="L188" s="113" t="n"/>
      <c r="M188" s="113" t="n"/>
    </row>
    <row r="189" ht="13.5" customHeight="1" s="199">
      <c r="A189" s="114" t="n"/>
      <c r="B189" s="187" t="n"/>
      <c r="C189" s="112" t="n"/>
      <c r="D189" s="112" t="n"/>
      <c r="E189" s="112" t="n"/>
      <c r="F189" s="112" t="n"/>
      <c r="G189" s="112" t="n"/>
      <c r="H189" s="112" t="n"/>
      <c r="I189" s="112" t="n"/>
      <c r="J189" s="112" t="n"/>
      <c r="K189" s="113" t="n"/>
      <c r="L189" s="113" t="n"/>
      <c r="M189" s="113" t="n"/>
    </row>
    <row r="190" ht="13.5" customHeight="1" s="199">
      <c r="A190" s="114" t="n"/>
      <c r="B190" s="187" t="n"/>
      <c r="C190" s="112" t="n"/>
      <c r="D190" s="112" t="n"/>
      <c r="E190" s="112" t="n"/>
      <c r="F190" s="112" t="n"/>
      <c r="G190" s="112" t="n"/>
      <c r="H190" s="112" t="n"/>
      <c r="I190" s="112" t="n"/>
      <c r="J190" s="112" t="n"/>
      <c r="K190" s="113" t="n"/>
      <c r="L190" s="113" t="n"/>
      <c r="M190" s="113" t="n"/>
    </row>
    <row r="191" ht="13.5" customHeight="1" s="199">
      <c r="A191" s="114" t="n"/>
      <c r="B191" s="187" t="n"/>
      <c r="C191" s="112" t="n"/>
      <c r="D191" s="112" t="n"/>
      <c r="E191" s="112" t="n"/>
      <c r="F191" s="112" t="n"/>
      <c r="G191" s="112" t="n"/>
      <c r="H191" s="112" t="n"/>
      <c r="I191" s="112" t="n"/>
      <c r="J191" s="112" t="n"/>
      <c r="K191" s="113" t="n"/>
      <c r="L191" s="113" t="n"/>
      <c r="M191" s="113" t="n"/>
    </row>
    <row r="192" ht="13.5" customHeight="1" s="199">
      <c r="A192" s="114" t="n"/>
      <c r="B192" s="187" t="n"/>
      <c r="C192" s="112" t="n"/>
      <c r="D192" s="112" t="n"/>
      <c r="E192" s="112" t="n"/>
      <c r="F192" s="112" t="n"/>
      <c r="G192" s="112" t="n"/>
      <c r="H192" s="112" t="n"/>
      <c r="I192" s="112" t="n"/>
      <c r="J192" s="112" t="n"/>
      <c r="K192" s="113" t="n"/>
      <c r="L192" s="113" t="n"/>
      <c r="M192" s="113" t="n"/>
    </row>
    <row r="193" ht="13.5" customHeight="1" s="199">
      <c r="A193" s="114" t="n"/>
      <c r="B193" s="187" t="n"/>
      <c r="C193" s="112" t="n"/>
      <c r="D193" s="112" t="n"/>
      <c r="E193" s="112" t="n"/>
      <c r="F193" s="112" t="n"/>
      <c r="G193" s="112" t="n"/>
      <c r="H193" s="112" t="n"/>
      <c r="I193" s="112" t="n"/>
      <c r="J193" s="112" t="n"/>
      <c r="K193" s="113" t="n"/>
      <c r="L193" s="113" t="n"/>
      <c r="M193" s="113" t="n"/>
    </row>
    <row r="194" ht="13.5" customHeight="1" s="199">
      <c r="A194" s="114" t="n"/>
      <c r="B194" s="187" t="n"/>
      <c r="C194" s="112" t="n"/>
      <c r="D194" s="112" t="n"/>
      <c r="E194" s="112" t="n"/>
      <c r="F194" s="112" t="n"/>
      <c r="G194" s="112" t="n"/>
      <c r="H194" s="112" t="n"/>
      <c r="I194" s="112" t="n"/>
      <c r="J194" s="112" t="n"/>
      <c r="K194" s="113" t="n"/>
      <c r="L194" s="113" t="n"/>
      <c r="M194" s="113" t="n"/>
    </row>
    <row r="195" ht="13.5" customHeight="1" s="199">
      <c r="A195" s="114" t="n"/>
      <c r="B195" s="187" t="n"/>
      <c r="C195" s="112" t="n"/>
      <c r="D195" s="112" t="n"/>
      <c r="E195" s="112" t="n"/>
      <c r="F195" s="112" t="n"/>
      <c r="G195" s="112" t="n"/>
      <c r="H195" s="112" t="n"/>
      <c r="I195" s="112" t="n"/>
      <c r="J195" s="112" t="n"/>
      <c r="K195" s="113" t="n"/>
      <c r="L195" s="113" t="n"/>
      <c r="M195" s="113" t="n"/>
    </row>
    <row r="196" ht="13.5" customHeight="1" s="199">
      <c r="A196" s="114" t="n"/>
      <c r="B196" s="187" t="n"/>
      <c r="C196" s="112" t="n"/>
      <c r="D196" s="112" t="n"/>
      <c r="E196" s="112" t="n"/>
      <c r="F196" s="112" t="n"/>
      <c r="G196" s="112" t="n"/>
      <c r="H196" s="112" t="n"/>
      <c r="I196" s="112" t="n"/>
      <c r="J196" s="112" t="n"/>
      <c r="K196" s="113" t="n"/>
      <c r="L196" s="113" t="n"/>
      <c r="M196" s="113" t="n"/>
    </row>
    <row r="197" ht="13.5" customHeight="1" s="199">
      <c r="A197" s="114" t="n"/>
      <c r="B197" s="187" t="n"/>
      <c r="C197" s="112" t="n"/>
      <c r="D197" s="112" t="n"/>
      <c r="E197" s="112" t="n"/>
      <c r="F197" s="112" t="n"/>
      <c r="G197" s="112" t="n"/>
      <c r="H197" s="112" t="n"/>
      <c r="I197" s="112" t="n"/>
      <c r="J197" s="112" t="n"/>
      <c r="K197" s="113" t="n"/>
      <c r="L197" s="113" t="n"/>
      <c r="M197" s="113" t="n"/>
    </row>
    <row r="198" ht="13.5" customHeight="1" s="199">
      <c r="A198" s="114" t="n"/>
      <c r="B198" s="187" t="n"/>
      <c r="C198" s="112" t="n"/>
      <c r="D198" s="112" t="n"/>
      <c r="E198" s="112" t="n"/>
      <c r="F198" s="112" t="n"/>
      <c r="G198" s="112" t="n"/>
      <c r="H198" s="112" t="n"/>
      <c r="I198" s="112" t="n"/>
      <c r="J198" s="112" t="n"/>
      <c r="K198" s="113" t="n"/>
      <c r="L198" s="113" t="n"/>
      <c r="M198" s="113" t="n"/>
    </row>
    <row r="199" ht="13.5" customHeight="1" s="199">
      <c r="A199" s="114" t="n"/>
      <c r="B199" s="187" t="n"/>
      <c r="C199" s="112" t="n"/>
      <c r="D199" s="112" t="n"/>
      <c r="E199" s="112" t="n"/>
      <c r="F199" s="112" t="n"/>
      <c r="G199" s="112" t="n"/>
      <c r="H199" s="112" t="n"/>
      <c r="I199" s="112" t="n"/>
      <c r="J199" s="112" t="n"/>
      <c r="K199" s="113" t="n"/>
      <c r="L199" s="113" t="n"/>
      <c r="M199" s="113" t="n"/>
    </row>
    <row r="200" ht="13.5" customHeight="1" s="199">
      <c r="A200" s="114" t="n"/>
      <c r="B200" s="187" t="n"/>
      <c r="C200" s="112" t="n"/>
      <c r="D200" s="112" t="n"/>
      <c r="E200" s="112" t="n"/>
      <c r="F200" s="112" t="n"/>
      <c r="G200" s="112" t="n"/>
      <c r="H200" s="112" t="n"/>
      <c r="I200" s="112" t="n"/>
      <c r="J200" s="112" t="n"/>
      <c r="K200" s="113" t="n"/>
      <c r="L200" s="113" t="n"/>
      <c r="M200" s="113" t="n"/>
    </row>
    <row r="201" ht="13.5" customHeight="1" s="199">
      <c r="A201" s="114" t="n"/>
      <c r="B201" s="187" t="n"/>
      <c r="C201" s="112" t="n"/>
      <c r="D201" s="112" t="n"/>
      <c r="E201" s="112" t="n"/>
      <c r="F201" s="112" t="n"/>
      <c r="G201" s="112" t="n"/>
      <c r="H201" s="112" t="n"/>
      <c r="I201" s="112" t="n"/>
      <c r="J201" s="112" t="n"/>
      <c r="K201" s="113" t="n"/>
      <c r="L201" s="113" t="n"/>
      <c r="M201" s="113" t="n"/>
    </row>
    <row r="202" ht="13.5" customHeight="1" s="199">
      <c r="A202" s="114" t="n"/>
      <c r="B202" s="187" t="n"/>
      <c r="C202" s="112" t="n"/>
      <c r="D202" s="112" t="n"/>
      <c r="E202" s="112" t="n"/>
      <c r="F202" s="112" t="n"/>
      <c r="G202" s="112" t="n"/>
      <c r="H202" s="112" t="n"/>
      <c r="I202" s="112" t="n"/>
      <c r="J202" s="112" t="n"/>
      <c r="K202" s="113" t="n"/>
      <c r="L202" s="113" t="n"/>
      <c r="M202" s="113" t="n"/>
    </row>
    <row r="203" ht="13.5" customHeight="1" s="199">
      <c r="A203" s="114" t="n"/>
      <c r="B203" s="187" t="n"/>
      <c r="C203" s="112" t="n"/>
      <c r="D203" s="112" t="n"/>
      <c r="E203" s="112" t="n"/>
      <c r="F203" s="112" t="n"/>
      <c r="G203" s="112" t="n"/>
      <c r="H203" s="112" t="n"/>
      <c r="I203" s="112" t="n"/>
      <c r="J203" s="112" t="n"/>
      <c r="K203" s="113" t="n"/>
      <c r="L203" s="113" t="n"/>
      <c r="M203" s="113" t="n"/>
    </row>
    <row r="204" ht="13.5" customHeight="1" s="199">
      <c r="A204" s="114" t="n"/>
      <c r="B204" s="187" t="n"/>
      <c r="C204" s="112" t="n"/>
      <c r="D204" s="112" t="n"/>
      <c r="E204" s="112" t="n"/>
      <c r="F204" s="112" t="n"/>
      <c r="G204" s="112" t="n"/>
      <c r="H204" s="112" t="n"/>
      <c r="I204" s="112" t="n"/>
      <c r="J204" s="112" t="n"/>
      <c r="K204" s="113" t="n"/>
      <c r="L204" s="113" t="n"/>
      <c r="M204" s="113" t="n"/>
    </row>
    <row r="205" ht="13.5" customHeight="1" s="199">
      <c r="A205" s="114" t="n"/>
      <c r="B205" s="187" t="n"/>
      <c r="C205" s="112" t="n"/>
      <c r="D205" s="112" t="n"/>
      <c r="E205" s="112" t="n"/>
      <c r="F205" s="112" t="n"/>
      <c r="G205" s="112" t="n"/>
      <c r="H205" s="112" t="n"/>
      <c r="I205" s="112" t="n"/>
      <c r="J205" s="112" t="n"/>
      <c r="K205" s="113" t="n"/>
      <c r="L205" s="113" t="n"/>
      <c r="M205" s="113" t="n"/>
    </row>
    <row r="206" ht="13.5" customHeight="1" s="199">
      <c r="A206" s="114" t="n"/>
      <c r="B206" s="187" t="n"/>
      <c r="C206" s="112" t="n"/>
      <c r="D206" s="112" t="n"/>
      <c r="E206" s="112" t="n"/>
      <c r="F206" s="112" t="n"/>
      <c r="G206" s="112" t="n"/>
      <c r="H206" s="112" t="n"/>
      <c r="I206" s="112" t="n"/>
      <c r="J206" s="112" t="n"/>
      <c r="K206" s="113" t="n"/>
      <c r="L206" s="113" t="n"/>
      <c r="M206" s="113" t="n"/>
    </row>
    <row r="207" ht="13.5" customHeight="1" s="199">
      <c r="A207" s="114" t="n"/>
      <c r="B207" s="187" t="n"/>
      <c r="C207" s="112" t="n"/>
      <c r="D207" s="112" t="n"/>
      <c r="E207" s="112" t="n"/>
      <c r="F207" s="112" t="n"/>
      <c r="G207" s="112" t="n"/>
      <c r="H207" s="112" t="n"/>
      <c r="I207" s="112" t="n"/>
      <c r="J207" s="112" t="n"/>
      <c r="K207" s="113" t="n"/>
      <c r="L207" s="113" t="n"/>
      <c r="M207" s="113" t="n"/>
    </row>
    <row r="208" ht="13.5" customHeight="1" s="199">
      <c r="A208" s="114" t="n"/>
      <c r="B208" s="187" t="n"/>
      <c r="C208" s="112" t="n"/>
      <c r="D208" s="112" t="n"/>
      <c r="E208" s="112" t="n"/>
      <c r="F208" s="112" t="n"/>
      <c r="G208" s="112" t="n"/>
      <c r="H208" s="112" t="n"/>
      <c r="I208" s="112" t="n"/>
      <c r="J208" s="112" t="n"/>
      <c r="K208" s="113" t="n"/>
      <c r="L208" s="113" t="n"/>
      <c r="M208" s="113" t="n"/>
    </row>
    <row r="209" ht="13.5" customHeight="1" s="199">
      <c r="A209" s="114" t="n"/>
      <c r="B209" s="187" t="n"/>
      <c r="C209" s="112" t="n"/>
      <c r="D209" s="112" t="n"/>
      <c r="E209" s="112" t="n"/>
      <c r="F209" s="112" t="n"/>
      <c r="G209" s="112" t="n"/>
      <c r="H209" s="112" t="n"/>
      <c r="I209" s="112" t="n"/>
      <c r="J209" s="112" t="n"/>
      <c r="K209" s="113" t="n"/>
      <c r="L209" s="113" t="n"/>
      <c r="M209" s="113" t="n"/>
    </row>
    <row r="210" ht="13.5" customHeight="1" s="199">
      <c r="A210" s="114" t="n"/>
      <c r="B210" s="187" t="n"/>
      <c r="C210" s="112" t="n"/>
      <c r="D210" s="112" t="n"/>
      <c r="E210" s="112" t="n"/>
      <c r="F210" s="112" t="n"/>
      <c r="G210" s="112" t="n"/>
      <c r="H210" s="112" t="n"/>
      <c r="I210" s="112" t="n"/>
      <c r="J210" s="112" t="n"/>
      <c r="K210" s="113" t="n"/>
      <c r="L210" s="113" t="n"/>
      <c r="M210" s="113" t="n"/>
    </row>
    <row r="211" ht="13.5" customHeight="1" s="199">
      <c r="A211" s="114" t="n"/>
      <c r="B211" s="187" t="n"/>
      <c r="C211" s="112" t="n"/>
      <c r="D211" s="112" t="n"/>
      <c r="E211" s="112" t="n"/>
      <c r="F211" s="112" t="n"/>
      <c r="G211" s="112" t="n"/>
      <c r="H211" s="112" t="n"/>
      <c r="I211" s="112" t="n"/>
      <c r="J211" s="112" t="n"/>
      <c r="K211" s="113" t="n"/>
      <c r="L211" s="113" t="n"/>
      <c r="M211" s="113" t="n"/>
    </row>
    <row r="212" ht="13.5" customHeight="1" s="199">
      <c r="A212" s="114" t="n"/>
      <c r="B212" s="187" t="n"/>
      <c r="C212" s="112" t="n"/>
      <c r="D212" s="112" t="n"/>
      <c r="E212" s="112" t="n"/>
      <c r="F212" s="112" t="n"/>
      <c r="G212" s="112" t="n"/>
      <c r="H212" s="112" t="n"/>
      <c r="I212" s="112" t="n"/>
      <c r="J212" s="112" t="n"/>
      <c r="K212" s="113" t="n"/>
      <c r="L212" s="113" t="n"/>
      <c r="M212" s="113" t="n"/>
    </row>
    <row r="213" ht="13.5" customHeight="1" s="199">
      <c r="A213" s="114" t="n"/>
      <c r="B213" s="187" t="n"/>
      <c r="C213" s="112" t="n"/>
      <c r="D213" s="112" t="n"/>
      <c r="E213" s="112" t="n"/>
      <c r="F213" s="112" t="n"/>
      <c r="G213" s="112" t="n"/>
      <c r="H213" s="112" t="n"/>
      <c r="I213" s="112" t="n"/>
      <c r="J213" s="112" t="n"/>
      <c r="K213" s="113" t="n"/>
      <c r="L213" s="113" t="n"/>
      <c r="M213" s="113" t="n"/>
    </row>
    <row r="214" ht="13.5" customHeight="1" s="199">
      <c r="A214" s="114" t="n"/>
      <c r="B214" s="187" t="n"/>
      <c r="C214" s="112" t="n"/>
      <c r="D214" s="112" t="n"/>
      <c r="E214" s="112" t="n"/>
      <c r="F214" s="112" t="n"/>
      <c r="G214" s="112" t="n"/>
      <c r="H214" s="112" t="n"/>
      <c r="I214" s="112" t="n"/>
      <c r="J214" s="112" t="n"/>
      <c r="K214" s="113" t="n"/>
      <c r="L214" s="113" t="n"/>
      <c r="M214" s="113" t="n"/>
    </row>
    <row r="215" ht="13.5" customHeight="1" s="199">
      <c r="A215" s="114" t="n"/>
      <c r="B215" s="187" t="n"/>
      <c r="C215" s="112" t="n"/>
      <c r="D215" s="112" t="n"/>
      <c r="E215" s="112" t="n"/>
      <c r="F215" s="112" t="n"/>
      <c r="G215" s="112" t="n"/>
      <c r="H215" s="112" t="n"/>
      <c r="I215" s="112" t="n"/>
      <c r="J215" s="112" t="n"/>
      <c r="K215" s="113" t="n"/>
      <c r="L215" s="113" t="n"/>
      <c r="M215" s="113" t="n"/>
    </row>
    <row r="216" ht="13.5" customHeight="1" s="199">
      <c r="A216" s="114" t="n"/>
      <c r="B216" s="187" t="n"/>
      <c r="C216" s="112" t="n"/>
      <c r="D216" s="112" t="n"/>
      <c r="E216" s="112" t="n"/>
      <c r="F216" s="112" t="n"/>
      <c r="G216" s="112" t="n"/>
      <c r="H216" s="112" t="n"/>
      <c r="I216" s="112" t="n"/>
      <c r="J216" s="112" t="n"/>
      <c r="K216" s="113" t="n"/>
      <c r="L216" s="113" t="n"/>
      <c r="M216" s="113" t="n"/>
    </row>
    <row r="217" ht="13.5" customHeight="1" s="199">
      <c r="A217" s="114" t="n"/>
      <c r="B217" s="187" t="n"/>
      <c r="C217" s="112" t="n"/>
      <c r="D217" s="112" t="n"/>
      <c r="E217" s="112" t="n"/>
      <c r="F217" s="112" t="n"/>
      <c r="G217" s="112" t="n"/>
      <c r="H217" s="112" t="n"/>
      <c r="I217" s="112" t="n"/>
      <c r="J217" s="112" t="n"/>
      <c r="K217" s="113" t="n"/>
      <c r="L217" s="113" t="n"/>
      <c r="M217" s="113" t="n"/>
    </row>
    <row r="218" ht="13.5" customHeight="1" s="199">
      <c r="A218" s="114" t="n"/>
      <c r="B218" s="187" t="n"/>
      <c r="C218" s="112" t="n"/>
      <c r="D218" s="112" t="n"/>
      <c r="E218" s="112" t="n"/>
      <c r="F218" s="112" t="n"/>
      <c r="G218" s="112" t="n"/>
      <c r="H218" s="112" t="n"/>
      <c r="I218" s="112" t="n"/>
      <c r="J218" s="112" t="n"/>
      <c r="K218" s="113" t="n"/>
      <c r="L218" s="113" t="n"/>
      <c r="M218" s="113" t="n"/>
    </row>
    <row r="219" ht="13.5" customHeight="1" s="199">
      <c r="A219" s="114" t="n"/>
      <c r="B219" s="187" t="n"/>
      <c r="C219" s="112" t="n"/>
      <c r="D219" s="112" t="n"/>
      <c r="E219" s="112" t="n"/>
      <c r="F219" s="112" t="n"/>
      <c r="G219" s="112" t="n"/>
      <c r="H219" s="112" t="n"/>
      <c r="I219" s="112" t="n"/>
      <c r="J219" s="112" t="n"/>
      <c r="K219" s="113" t="n"/>
      <c r="L219" s="113" t="n"/>
      <c r="M219" s="113" t="n"/>
    </row>
    <row r="220" ht="13.5" customHeight="1" s="199">
      <c r="A220" s="114" t="n"/>
      <c r="B220" s="187" t="n"/>
      <c r="C220" s="112" t="n"/>
      <c r="D220" s="112" t="n"/>
      <c r="E220" s="112" t="n"/>
      <c r="F220" s="112" t="n"/>
      <c r="G220" s="112" t="n"/>
      <c r="H220" s="112" t="n"/>
      <c r="I220" s="112" t="n"/>
      <c r="J220" s="112" t="n"/>
      <c r="K220" s="113" t="n"/>
      <c r="L220" s="113" t="n"/>
      <c r="M220" s="113" t="n"/>
    </row>
    <row r="221" ht="13.5" customHeight="1" s="199">
      <c r="A221" s="114" t="n"/>
      <c r="B221" s="187" t="n"/>
      <c r="C221" s="112" t="n"/>
      <c r="D221" s="112" t="n"/>
      <c r="E221" s="112" t="n"/>
      <c r="F221" s="112" t="n"/>
      <c r="G221" s="112" t="n"/>
      <c r="H221" s="112" t="n"/>
      <c r="I221" s="112" t="n"/>
      <c r="J221" s="112" t="n"/>
      <c r="K221" s="113" t="n"/>
      <c r="L221" s="113" t="n"/>
      <c r="M221" s="113" t="n"/>
    </row>
    <row r="222" ht="13.5" customHeight="1" s="199">
      <c r="A222" s="114" t="n"/>
      <c r="B222" s="187" t="n"/>
      <c r="C222" s="112" t="n"/>
      <c r="D222" s="112" t="n"/>
      <c r="E222" s="112" t="n"/>
      <c r="F222" s="112" t="n"/>
      <c r="G222" s="112" t="n"/>
      <c r="H222" s="112" t="n"/>
      <c r="I222" s="112" t="n"/>
      <c r="J222" s="112" t="n"/>
      <c r="K222" s="113" t="n"/>
      <c r="L222" s="113" t="n"/>
      <c r="M222" s="113" t="n"/>
    </row>
    <row r="223" ht="13.5" customHeight="1" s="199">
      <c r="A223" s="114" t="n"/>
      <c r="B223" s="187" t="n"/>
      <c r="C223" s="112" t="n"/>
      <c r="D223" s="112" t="n"/>
      <c r="E223" s="112" t="n"/>
      <c r="F223" s="112" t="n"/>
      <c r="G223" s="112" t="n"/>
      <c r="H223" s="112" t="n"/>
      <c r="I223" s="112" t="n"/>
      <c r="J223" s="112" t="n"/>
      <c r="K223" s="113" t="n"/>
      <c r="L223" s="113" t="n"/>
      <c r="M223" s="113" t="n"/>
    </row>
    <row r="224" ht="13.5" customHeight="1" s="199">
      <c r="A224" s="114" t="n"/>
      <c r="B224" s="187" t="n"/>
      <c r="C224" s="112" t="n"/>
      <c r="D224" s="112" t="n"/>
      <c r="E224" s="112" t="n"/>
      <c r="F224" s="112" t="n"/>
      <c r="G224" s="112" t="n"/>
      <c r="H224" s="112" t="n"/>
      <c r="I224" s="112" t="n"/>
      <c r="J224" s="112" t="n"/>
      <c r="K224" s="113" t="n"/>
      <c r="L224" s="113" t="n"/>
      <c r="M224" s="113" t="n"/>
    </row>
    <row r="225" ht="13.5" customHeight="1" s="199">
      <c r="A225" s="114" t="n"/>
      <c r="B225" s="187" t="n"/>
      <c r="C225" s="112" t="n"/>
      <c r="D225" s="112" t="n"/>
      <c r="E225" s="112" t="n"/>
      <c r="F225" s="112" t="n"/>
      <c r="G225" s="112" t="n"/>
      <c r="H225" s="112" t="n"/>
      <c r="I225" s="112" t="n"/>
      <c r="J225" s="112" t="n"/>
      <c r="K225" s="113" t="n"/>
      <c r="L225" s="113" t="n"/>
      <c r="M225" s="113" t="n"/>
    </row>
    <row r="226" ht="13.5" customHeight="1" s="199">
      <c r="A226" s="114" t="n"/>
      <c r="B226" s="187" t="n"/>
      <c r="C226" s="112" t="n"/>
      <c r="D226" s="112" t="n"/>
      <c r="E226" s="112" t="n"/>
      <c r="F226" s="112" t="n"/>
      <c r="G226" s="112" t="n"/>
      <c r="H226" s="112" t="n"/>
      <c r="I226" s="112" t="n"/>
      <c r="J226" s="112" t="n"/>
      <c r="K226" s="113" t="n"/>
      <c r="L226" s="113" t="n"/>
      <c r="M226" s="113" t="n"/>
    </row>
    <row r="227" ht="13.5" customHeight="1" s="199">
      <c r="A227" s="114" t="n"/>
      <c r="B227" s="187" t="n"/>
      <c r="C227" s="112" t="n"/>
      <c r="D227" s="112" t="n"/>
      <c r="E227" s="112" t="n"/>
      <c r="F227" s="112" t="n"/>
      <c r="G227" s="112" t="n"/>
      <c r="H227" s="112" t="n"/>
      <c r="I227" s="112" t="n"/>
      <c r="J227" s="112" t="n"/>
      <c r="K227" s="113" t="n"/>
      <c r="L227" s="113" t="n"/>
      <c r="M227" s="113" t="n"/>
    </row>
    <row r="228" ht="13.5" customHeight="1" s="199">
      <c r="A228" s="114" t="n"/>
      <c r="B228" s="187" t="n"/>
      <c r="C228" s="112" t="n"/>
      <c r="D228" s="112" t="n"/>
      <c r="E228" s="112" t="n"/>
      <c r="F228" s="112" t="n"/>
      <c r="G228" s="112" t="n"/>
      <c r="H228" s="112" t="n"/>
      <c r="I228" s="112" t="n"/>
      <c r="J228" s="112" t="n"/>
      <c r="K228" s="113" t="n"/>
      <c r="L228" s="113" t="n"/>
      <c r="M228" s="113" t="n"/>
    </row>
    <row r="229" ht="13.5" customHeight="1" s="199">
      <c r="A229" s="114" t="n"/>
      <c r="B229" s="187" t="n"/>
      <c r="C229" s="112" t="n"/>
      <c r="D229" s="112" t="n"/>
      <c r="E229" s="112" t="n"/>
      <c r="F229" s="112" t="n"/>
      <c r="G229" s="112" t="n"/>
      <c r="H229" s="112" t="n"/>
      <c r="I229" s="112" t="n"/>
      <c r="J229" s="112" t="n"/>
      <c r="K229" s="113" t="n"/>
      <c r="L229" s="113" t="n"/>
      <c r="M229" s="113" t="n"/>
    </row>
    <row r="230" ht="13.5" customHeight="1" s="199">
      <c r="A230" s="114" t="n"/>
      <c r="B230" s="187" t="n"/>
      <c r="C230" s="112" t="n"/>
      <c r="D230" s="112" t="n"/>
      <c r="E230" s="112" t="n"/>
      <c r="F230" s="112" t="n"/>
      <c r="G230" s="112" t="n"/>
      <c r="H230" s="112" t="n"/>
      <c r="I230" s="112" t="n"/>
      <c r="J230" s="112" t="n"/>
      <c r="K230" s="113" t="n"/>
      <c r="L230" s="113" t="n"/>
      <c r="M230" s="113" t="n"/>
    </row>
    <row r="231" ht="13.5" customHeight="1" s="199">
      <c r="A231" s="114" t="n"/>
      <c r="B231" s="187" t="n"/>
      <c r="C231" s="112" t="n"/>
      <c r="D231" s="112" t="n"/>
      <c r="E231" s="112" t="n"/>
      <c r="F231" s="112" t="n"/>
      <c r="G231" s="112" t="n"/>
      <c r="H231" s="112" t="n"/>
      <c r="I231" s="112" t="n"/>
      <c r="J231" s="112" t="n"/>
      <c r="K231" s="113" t="n"/>
      <c r="L231" s="113" t="n"/>
      <c r="M231" s="113" t="n"/>
    </row>
    <row r="232" ht="13.5" customHeight="1" s="199">
      <c r="A232" s="114" t="n"/>
      <c r="B232" s="187" t="n"/>
      <c r="C232" s="112" t="n"/>
      <c r="D232" s="112" t="n"/>
      <c r="E232" s="112" t="n"/>
      <c r="F232" s="112" t="n"/>
      <c r="G232" s="112" t="n"/>
      <c r="H232" s="112" t="n"/>
      <c r="I232" s="112" t="n"/>
      <c r="J232" s="112" t="n"/>
      <c r="K232" s="113" t="n"/>
      <c r="L232" s="113" t="n"/>
      <c r="M232" s="113" t="n"/>
    </row>
    <row r="233" ht="13.5" customHeight="1" s="199">
      <c r="A233" s="114" t="n"/>
      <c r="B233" s="187" t="n"/>
      <c r="C233" s="112" t="n"/>
      <c r="D233" s="112" t="n"/>
      <c r="E233" s="112" t="n"/>
      <c r="F233" s="112" t="n"/>
      <c r="G233" s="112" t="n"/>
      <c r="H233" s="112" t="n"/>
      <c r="I233" s="112" t="n"/>
      <c r="J233" s="112" t="n"/>
      <c r="K233" s="113" t="n"/>
      <c r="L233" s="113" t="n"/>
      <c r="M233" s="113" t="n"/>
    </row>
    <row r="234" ht="13.5" customHeight="1" s="199">
      <c r="A234" s="114" t="n"/>
      <c r="B234" s="187" t="n"/>
      <c r="C234" s="112" t="n"/>
      <c r="D234" s="112" t="n"/>
      <c r="E234" s="112" t="n"/>
      <c r="F234" s="112" t="n"/>
      <c r="G234" s="112" t="n"/>
      <c r="H234" s="112" t="n"/>
      <c r="I234" s="112" t="n"/>
      <c r="J234" s="112" t="n"/>
      <c r="K234" s="113" t="n"/>
      <c r="L234" s="113" t="n"/>
      <c r="M234" s="113" t="n"/>
    </row>
    <row r="235" ht="13.5" customHeight="1" s="199">
      <c r="A235" s="114" t="n"/>
      <c r="B235" s="187" t="n"/>
      <c r="C235" s="112" t="n"/>
      <c r="D235" s="112" t="n"/>
      <c r="E235" s="112" t="n"/>
      <c r="F235" s="112" t="n"/>
      <c r="G235" s="112" t="n"/>
      <c r="H235" s="112" t="n"/>
      <c r="I235" s="112" t="n"/>
      <c r="J235" s="112" t="n"/>
      <c r="K235" s="113" t="n"/>
      <c r="L235" s="113" t="n"/>
      <c r="M235" s="113" t="n"/>
    </row>
    <row r="236" ht="13.5" customHeight="1" s="199">
      <c r="A236" s="114" t="n"/>
      <c r="B236" s="187" t="n"/>
      <c r="C236" s="112" t="n"/>
      <c r="D236" s="112" t="n"/>
      <c r="E236" s="112" t="n"/>
      <c r="F236" s="112" t="n"/>
      <c r="G236" s="112" t="n"/>
      <c r="H236" s="112" t="n"/>
      <c r="I236" s="112" t="n"/>
      <c r="J236" s="112" t="n"/>
      <c r="K236" s="113" t="n"/>
      <c r="L236" s="113" t="n"/>
      <c r="M236" s="113" t="n"/>
    </row>
    <row r="237" ht="13.5" customHeight="1" s="199">
      <c r="A237" s="114" t="n"/>
      <c r="B237" s="187" t="n"/>
      <c r="C237" s="112" t="n"/>
      <c r="D237" s="112" t="n"/>
      <c r="E237" s="112" t="n"/>
      <c r="F237" s="112" t="n"/>
      <c r="G237" s="112" t="n"/>
      <c r="H237" s="112" t="n"/>
      <c r="I237" s="112" t="n"/>
      <c r="J237" s="112" t="n"/>
      <c r="K237" s="113" t="n"/>
      <c r="L237" s="113" t="n"/>
      <c r="M237" s="113" t="n"/>
    </row>
    <row r="238" ht="13.5" customHeight="1" s="199">
      <c r="A238" s="114" t="n"/>
      <c r="B238" s="187" t="n"/>
      <c r="C238" s="112" t="n"/>
      <c r="D238" s="112" t="n"/>
      <c r="E238" s="112" t="n"/>
      <c r="F238" s="112" t="n"/>
      <c r="G238" s="112" t="n"/>
      <c r="H238" s="112" t="n"/>
      <c r="I238" s="112" t="n"/>
      <c r="J238" s="112" t="n"/>
      <c r="K238" s="113" t="n"/>
      <c r="L238" s="113" t="n"/>
      <c r="M238" s="113" t="n"/>
    </row>
    <row r="239" ht="13.5" customHeight="1" s="199">
      <c r="A239" s="114" t="n"/>
      <c r="B239" s="187" t="n"/>
      <c r="C239" s="112" t="n"/>
      <c r="D239" s="112" t="n"/>
      <c r="E239" s="112" t="n"/>
      <c r="F239" s="112" t="n"/>
      <c r="G239" s="112" t="n"/>
      <c r="H239" s="112" t="n"/>
      <c r="I239" s="112" t="n"/>
      <c r="J239" s="112" t="n"/>
      <c r="K239" s="113" t="n"/>
      <c r="L239" s="113" t="n"/>
      <c r="M239" s="113" t="n"/>
    </row>
    <row r="240" ht="13.5" customHeight="1" s="199">
      <c r="A240" s="114" t="n"/>
      <c r="B240" s="187" t="n"/>
      <c r="C240" s="112" t="n"/>
      <c r="D240" s="112" t="n"/>
      <c r="E240" s="112" t="n"/>
      <c r="F240" s="112" t="n"/>
      <c r="G240" s="112" t="n"/>
      <c r="H240" s="112" t="n"/>
      <c r="I240" s="112" t="n"/>
      <c r="J240" s="112" t="n"/>
      <c r="K240" s="113" t="n"/>
      <c r="L240" s="113" t="n"/>
      <c r="M240" s="113" t="n"/>
    </row>
    <row r="241" ht="13.5" customHeight="1" s="199">
      <c r="A241" s="114" t="n"/>
      <c r="B241" s="187" t="n"/>
      <c r="C241" s="112" t="n"/>
      <c r="D241" s="112" t="n"/>
      <c r="E241" s="112" t="n"/>
      <c r="F241" s="112" t="n"/>
      <c r="G241" s="112" t="n"/>
      <c r="H241" s="112" t="n"/>
      <c r="I241" s="112" t="n"/>
      <c r="J241" s="112" t="n"/>
      <c r="K241" s="113" t="n"/>
      <c r="L241" s="113" t="n"/>
      <c r="M241" s="113" t="n"/>
    </row>
    <row r="242" ht="13.5" customHeight="1" s="199">
      <c r="A242" s="114" t="n"/>
      <c r="B242" s="187" t="n"/>
      <c r="C242" s="112" t="n"/>
      <c r="D242" s="112" t="n"/>
      <c r="E242" s="112" t="n"/>
      <c r="F242" s="112" t="n"/>
      <c r="G242" s="112" t="n"/>
      <c r="H242" s="112" t="n"/>
      <c r="I242" s="112" t="n"/>
      <c r="J242" s="112" t="n"/>
      <c r="K242" s="113" t="n"/>
      <c r="L242" s="113" t="n"/>
      <c r="M242" s="113" t="n"/>
    </row>
    <row r="243" ht="13.5" customHeight="1" s="199">
      <c r="A243" s="114" t="n"/>
      <c r="B243" s="187" t="n"/>
      <c r="C243" s="112" t="n"/>
      <c r="D243" s="112" t="n"/>
      <c r="E243" s="112" t="n"/>
      <c r="F243" s="112" t="n"/>
      <c r="G243" s="112" t="n"/>
      <c r="H243" s="112" t="n"/>
      <c r="I243" s="112" t="n"/>
      <c r="J243" s="112" t="n"/>
      <c r="K243" s="113" t="n"/>
      <c r="L243" s="113" t="n"/>
      <c r="M243" s="113" t="n"/>
    </row>
    <row r="244" ht="13.5" customHeight="1" s="199">
      <c r="A244" s="114" t="n"/>
      <c r="B244" s="187" t="n"/>
      <c r="C244" s="112" t="n"/>
      <c r="D244" s="112" t="n"/>
      <c r="E244" s="112" t="n"/>
      <c r="F244" s="112" t="n"/>
      <c r="G244" s="112" t="n"/>
      <c r="H244" s="112" t="n"/>
      <c r="I244" s="112" t="n"/>
      <c r="J244" s="112" t="n"/>
      <c r="K244" s="113" t="n"/>
      <c r="L244" s="113" t="n"/>
      <c r="M244" s="113" t="n"/>
    </row>
    <row r="245" ht="13.5" customHeight="1" s="199">
      <c r="A245" s="114" t="n"/>
      <c r="B245" s="187" t="n"/>
      <c r="C245" s="112" t="n"/>
      <c r="D245" s="112" t="n"/>
      <c r="E245" s="112" t="n"/>
      <c r="F245" s="112" t="n"/>
      <c r="G245" s="112" t="n"/>
      <c r="H245" s="112" t="n"/>
      <c r="I245" s="112" t="n"/>
      <c r="J245" s="112" t="n"/>
      <c r="K245" s="113" t="n"/>
      <c r="L245" s="113" t="n"/>
      <c r="M245" s="113" t="n"/>
    </row>
    <row r="246" ht="15.75" customHeight="1" s="199"/>
    <row r="247" ht="15.75" customHeight="1" s="199"/>
    <row r="248" ht="15.75" customHeight="1" s="199"/>
    <row r="249" ht="15.75" customHeight="1" s="199"/>
    <row r="250" ht="15.75" customHeight="1" s="199"/>
    <row r="251" ht="15.75" customHeight="1" s="199"/>
    <row r="252" ht="15.75" customHeight="1" s="199"/>
    <row r="253" ht="15.75" customHeight="1" s="199"/>
    <row r="254" ht="15.75" customHeight="1" s="199"/>
    <row r="255" ht="15.75" customHeight="1" s="199"/>
    <row r="256" ht="15.75" customHeight="1" s="199"/>
    <row r="257" ht="15.75" customHeight="1" s="199"/>
    <row r="258" ht="15.75" customHeight="1" s="199"/>
    <row r="259" ht="15.75" customHeight="1" s="199"/>
    <row r="260" ht="15.75" customHeight="1" s="199"/>
    <row r="261" ht="15.75" customHeight="1" s="199"/>
    <row r="262" ht="15.75" customHeight="1" s="199"/>
    <row r="263" ht="15.75" customHeight="1" s="199"/>
    <row r="264" ht="15.75" customHeight="1" s="199"/>
    <row r="265" ht="15.75" customHeight="1" s="199"/>
    <row r="266" ht="15.75" customHeight="1" s="199"/>
    <row r="267" ht="15.75" customHeight="1" s="199"/>
    <row r="268" ht="15.75" customHeight="1" s="199"/>
    <row r="269" ht="15.75" customHeight="1" s="199"/>
    <row r="270" ht="15.75" customHeight="1" s="199"/>
    <row r="271" ht="15.75" customHeight="1" s="199"/>
    <row r="272" ht="15.75" customHeight="1" s="199"/>
    <row r="273" ht="15.75" customHeight="1" s="199"/>
    <row r="274" ht="15.75" customHeight="1" s="199"/>
    <row r="275" ht="15.75" customHeight="1" s="199"/>
    <row r="276" ht="15.75" customHeight="1" s="199"/>
    <row r="277" ht="15.75" customHeight="1" s="199"/>
    <row r="278" ht="15.75" customHeight="1" s="199"/>
    <row r="279" ht="15.75" customHeight="1" s="199"/>
    <row r="280" ht="15.75" customHeight="1" s="199"/>
    <row r="281" ht="15.75" customHeight="1" s="199"/>
    <row r="282" ht="15.75" customHeight="1" s="199"/>
    <row r="283" ht="15.75" customHeight="1" s="199"/>
    <row r="284" ht="15.75" customHeight="1" s="199"/>
    <row r="285" ht="15.75" customHeight="1" s="199"/>
    <row r="286" ht="15.75" customHeight="1" s="199"/>
    <row r="287" ht="15.75" customHeight="1" s="199"/>
    <row r="288" ht="15.75" customHeight="1" s="199"/>
    <row r="289" ht="15.75" customHeight="1" s="199"/>
    <row r="290" ht="15.75" customHeight="1" s="199"/>
    <row r="291" ht="15.75" customHeight="1" s="199"/>
    <row r="292" ht="15.75" customHeight="1" s="199"/>
    <row r="293" ht="15.75" customHeight="1" s="199"/>
    <row r="294" ht="15.75" customHeight="1" s="199"/>
    <row r="295" ht="15.75" customHeight="1" s="199"/>
    <row r="296" ht="15.75" customHeight="1" s="199"/>
    <row r="297" ht="15.75" customHeight="1" s="199"/>
    <row r="298" ht="15.75" customHeight="1" s="199"/>
    <row r="299" ht="15.75" customHeight="1" s="199"/>
    <row r="300" ht="15.75" customHeight="1" s="199"/>
    <row r="301" ht="15.75" customHeight="1" s="199"/>
    <row r="302" ht="15.75" customHeight="1" s="199"/>
    <row r="303" ht="15.75" customHeight="1" s="199"/>
    <row r="304" ht="15.75" customHeight="1" s="199"/>
    <row r="305" ht="15.75" customHeight="1" s="199"/>
    <row r="306" ht="15.75" customHeight="1" s="199"/>
    <row r="307" ht="15.75" customHeight="1" s="199"/>
    <row r="308" ht="15.75" customHeight="1" s="199"/>
    <row r="309" ht="15.75" customHeight="1" s="199"/>
    <row r="310" ht="15.75" customHeight="1" s="199"/>
    <row r="311" ht="15.75" customHeight="1" s="199"/>
    <row r="312" ht="15.75" customHeight="1" s="199"/>
    <row r="313" ht="15.75" customHeight="1" s="199"/>
    <row r="314" ht="15.75" customHeight="1" s="199"/>
    <row r="315" ht="15.75" customHeight="1" s="199"/>
    <row r="316" ht="15.75" customHeight="1" s="199"/>
    <row r="317" ht="15.75" customHeight="1" s="199"/>
    <row r="318" ht="15.75" customHeight="1" s="199"/>
    <row r="319" ht="15.75" customHeight="1" s="199"/>
    <row r="320" ht="15.75" customHeight="1" s="199"/>
    <row r="321" ht="15.75" customHeight="1" s="199"/>
    <row r="322" ht="15.75" customHeight="1" s="199"/>
    <row r="323" ht="15.75" customHeight="1" s="199"/>
    <row r="324" ht="15.75" customHeight="1" s="199"/>
    <row r="325" ht="15.75" customHeight="1" s="199"/>
    <row r="326" ht="15.75" customHeight="1" s="199"/>
    <row r="327" ht="15.75" customHeight="1" s="199"/>
    <row r="328" ht="15.75" customHeight="1" s="199"/>
    <row r="329" ht="15.75" customHeight="1" s="199"/>
    <row r="330" ht="15.75" customHeight="1" s="199"/>
    <row r="331" ht="15.75" customHeight="1" s="199"/>
    <row r="332" ht="15.75" customHeight="1" s="199"/>
    <row r="333" ht="15.75" customHeight="1" s="199"/>
    <row r="334" ht="15.75" customHeight="1" s="199"/>
    <row r="335" ht="15.75" customHeight="1" s="199"/>
    <row r="336" ht="15.75" customHeight="1" s="199"/>
    <row r="337" ht="15.75" customHeight="1" s="199"/>
    <row r="338" ht="15.75" customHeight="1" s="199"/>
    <row r="339" ht="15.75" customHeight="1" s="199"/>
    <row r="340" ht="15.75" customHeight="1" s="199"/>
    <row r="341" ht="15.75" customHeight="1" s="199"/>
    <row r="342" ht="15.75" customHeight="1" s="199"/>
    <row r="343" ht="15.75" customHeight="1" s="199"/>
    <row r="344" ht="15.75" customHeight="1" s="199"/>
    <row r="345" ht="15.75" customHeight="1" s="199"/>
    <row r="346" ht="15.75" customHeight="1" s="199"/>
    <row r="347" ht="15.75" customHeight="1" s="199"/>
    <row r="348" ht="15.75" customHeight="1" s="199"/>
    <row r="349" ht="15.75" customHeight="1" s="199"/>
    <row r="350" ht="15.75" customHeight="1" s="199"/>
    <row r="351" ht="15.75" customHeight="1" s="199"/>
    <row r="352" ht="15.75" customHeight="1" s="199"/>
    <row r="353" ht="15.75" customHeight="1" s="199"/>
    <row r="354" ht="15.75" customHeight="1" s="199"/>
    <row r="355" ht="15.75" customHeight="1" s="199"/>
    <row r="356" ht="15.75" customHeight="1" s="199"/>
    <row r="357" ht="15.75" customHeight="1" s="199"/>
    <row r="358" ht="15.75" customHeight="1" s="199"/>
    <row r="359" ht="15.75" customHeight="1" s="199"/>
    <row r="360" ht="15.75" customHeight="1" s="199"/>
    <row r="361" ht="15.75" customHeight="1" s="199"/>
    <row r="362" ht="15.75" customHeight="1" s="199"/>
    <row r="363" ht="15.75" customHeight="1" s="199"/>
    <row r="364" ht="15.75" customHeight="1" s="199"/>
    <row r="365" ht="15.75" customHeight="1" s="199"/>
    <row r="366" ht="15.75" customHeight="1" s="199"/>
    <row r="367" ht="15.75" customHeight="1" s="199"/>
    <row r="368" ht="15.75" customHeight="1" s="199"/>
    <row r="369" ht="15.75" customHeight="1" s="199"/>
    <row r="370" ht="15.75" customHeight="1" s="199"/>
    <row r="371" ht="15.75" customHeight="1" s="199"/>
    <row r="372" ht="15.75" customHeight="1" s="199"/>
    <row r="373" ht="15.75" customHeight="1" s="199"/>
    <row r="374" ht="15.75" customHeight="1" s="199"/>
    <row r="375" ht="15.75" customHeight="1" s="199"/>
    <row r="376" ht="15.75" customHeight="1" s="199"/>
    <row r="377" ht="15.75" customHeight="1" s="199"/>
    <row r="378" ht="15.75" customHeight="1" s="199"/>
    <row r="379" ht="15.75" customHeight="1" s="199"/>
    <row r="380" ht="15.75" customHeight="1" s="199"/>
    <row r="381" ht="15.75" customHeight="1" s="199"/>
    <row r="382" ht="15.75" customHeight="1" s="199"/>
    <row r="383" ht="15.75" customHeight="1" s="199"/>
    <row r="384" ht="15.75" customHeight="1" s="199"/>
    <row r="385" ht="15.75" customHeight="1" s="199"/>
    <row r="386" ht="15.75" customHeight="1" s="199"/>
    <row r="387" ht="15.75" customHeight="1" s="199"/>
    <row r="388" ht="15.75" customHeight="1" s="199"/>
    <row r="389" ht="15.75" customHeight="1" s="199"/>
    <row r="390" ht="15.75" customHeight="1" s="199"/>
    <row r="391" ht="15.75" customHeight="1" s="199"/>
    <row r="392" ht="15.75" customHeight="1" s="199"/>
    <row r="393" ht="15.75" customHeight="1" s="199"/>
    <row r="394" ht="15.75" customHeight="1" s="199"/>
    <row r="395" ht="15.75" customHeight="1" s="199"/>
    <row r="396" ht="15.75" customHeight="1" s="199"/>
    <row r="397" ht="15.75" customHeight="1" s="199"/>
    <row r="398" ht="15.75" customHeight="1" s="199"/>
    <row r="399" ht="15.75" customHeight="1" s="199"/>
    <row r="400" ht="15.75" customHeight="1" s="199"/>
    <row r="401" ht="15.75" customHeight="1" s="199"/>
    <row r="402" ht="15.75" customHeight="1" s="199"/>
    <row r="403" ht="15.75" customHeight="1" s="199"/>
    <row r="404" ht="15.75" customHeight="1" s="199"/>
    <row r="405" ht="15.75" customHeight="1" s="199"/>
    <row r="406" ht="15.75" customHeight="1" s="199"/>
    <row r="407" ht="15.75" customHeight="1" s="199"/>
    <row r="408" ht="15.75" customHeight="1" s="199"/>
    <row r="409" ht="15.75" customHeight="1" s="199"/>
    <row r="410" ht="15.75" customHeight="1" s="199"/>
    <row r="411" ht="15.75" customHeight="1" s="199"/>
    <row r="412" ht="15.75" customHeight="1" s="199"/>
    <row r="413" ht="15.75" customHeight="1" s="199"/>
    <row r="414" ht="15.75" customHeight="1" s="199"/>
    <row r="415" ht="15.75" customHeight="1" s="199"/>
    <row r="416" ht="15.75" customHeight="1" s="199"/>
    <row r="417" ht="15.75" customHeight="1" s="199"/>
    <row r="418" ht="15.75" customHeight="1" s="199"/>
    <row r="419" ht="15.75" customHeight="1" s="199"/>
    <row r="420" ht="15.75" customHeight="1" s="199"/>
    <row r="421" ht="15.75" customHeight="1" s="199"/>
    <row r="422" ht="15.75" customHeight="1" s="199"/>
    <row r="423" ht="15.75" customHeight="1" s="199"/>
    <row r="424" ht="15.75" customHeight="1" s="199"/>
    <row r="425" ht="15.75" customHeight="1" s="199"/>
    <row r="426" ht="15.75" customHeight="1" s="199"/>
    <row r="427" ht="15.75" customHeight="1" s="199"/>
    <row r="428" ht="15.75" customHeight="1" s="199"/>
    <row r="429" ht="15.75" customHeight="1" s="199"/>
    <row r="430" ht="15.75" customHeight="1" s="199"/>
    <row r="431" ht="15.75" customHeight="1" s="199"/>
    <row r="432" ht="15.75" customHeight="1" s="199"/>
    <row r="433" ht="15.75" customHeight="1" s="199"/>
    <row r="434" ht="15.75" customHeight="1" s="199"/>
    <row r="435" ht="15.75" customHeight="1" s="199"/>
    <row r="436" ht="15.75" customHeight="1" s="199"/>
    <row r="437" ht="15.75" customHeight="1" s="199"/>
    <row r="438" ht="15.75" customHeight="1" s="199"/>
    <row r="439" ht="15.75" customHeight="1" s="199"/>
    <row r="440" ht="15.75" customHeight="1" s="199"/>
    <row r="441" ht="15.75" customHeight="1" s="199"/>
    <row r="442" ht="15.75" customHeight="1" s="199"/>
    <row r="443" ht="15.75" customHeight="1" s="199"/>
    <row r="444" ht="15.75" customHeight="1" s="199"/>
    <row r="445" ht="15.75" customHeight="1" s="199"/>
    <row r="446" ht="15.75" customHeight="1" s="199"/>
    <row r="447" ht="15.75" customHeight="1" s="199"/>
    <row r="448" ht="15.75" customHeight="1" s="199"/>
    <row r="449" ht="15.75" customHeight="1" s="199"/>
    <row r="450" ht="15.75" customHeight="1" s="199"/>
    <row r="451" ht="15.75" customHeight="1" s="199"/>
    <row r="452" ht="15.75" customHeight="1" s="199"/>
    <row r="453" ht="15.75" customHeight="1" s="199"/>
    <row r="454" ht="15.75" customHeight="1" s="199"/>
    <row r="455" ht="15.75" customHeight="1" s="199"/>
    <row r="456" ht="15.75" customHeight="1" s="199"/>
    <row r="457" ht="15.75" customHeight="1" s="199"/>
    <row r="458" ht="15.75" customHeight="1" s="199"/>
    <row r="459" ht="15.75" customHeight="1" s="199"/>
    <row r="460" ht="15.75" customHeight="1" s="199"/>
    <row r="461" ht="15.75" customHeight="1" s="199"/>
    <row r="462" ht="15.75" customHeight="1" s="199"/>
    <row r="463" ht="15.75" customHeight="1" s="199"/>
    <row r="464" ht="15.75" customHeight="1" s="199"/>
    <row r="465" ht="15.75" customHeight="1" s="199"/>
    <row r="466" ht="15.75" customHeight="1" s="199"/>
    <row r="467" ht="15.75" customHeight="1" s="199"/>
    <row r="468" ht="15.75" customHeight="1" s="199"/>
    <row r="469" ht="15.75" customHeight="1" s="199"/>
    <row r="470" ht="15.75" customHeight="1" s="199"/>
    <row r="471" ht="15.75" customHeight="1" s="199"/>
    <row r="472" ht="15.75" customHeight="1" s="199"/>
    <row r="473" ht="15.75" customHeight="1" s="199"/>
    <row r="474" ht="15.75" customHeight="1" s="199"/>
    <row r="475" ht="15.75" customHeight="1" s="199"/>
    <row r="476" ht="15.75" customHeight="1" s="199"/>
    <row r="477" ht="15.75" customHeight="1" s="199"/>
    <row r="478" ht="15.75" customHeight="1" s="199"/>
    <row r="479" ht="15.75" customHeight="1" s="199"/>
    <row r="480" ht="15.75" customHeight="1" s="199"/>
    <row r="481" ht="15.75" customHeight="1" s="199"/>
    <row r="482" ht="15.75" customHeight="1" s="199"/>
    <row r="483" ht="15.75" customHeight="1" s="199"/>
    <row r="484" ht="15.75" customHeight="1" s="199"/>
    <row r="485" ht="15.75" customHeight="1" s="199"/>
    <row r="486" ht="15.75" customHeight="1" s="199"/>
    <row r="487" ht="15.75" customHeight="1" s="199"/>
    <row r="488" ht="15.75" customHeight="1" s="199"/>
    <row r="489" ht="15.75" customHeight="1" s="199"/>
    <row r="490" ht="15.75" customHeight="1" s="199"/>
    <row r="491" ht="15.75" customHeight="1" s="199"/>
    <row r="492" ht="15.75" customHeight="1" s="199"/>
    <row r="493" ht="15.75" customHeight="1" s="199"/>
    <row r="494" ht="15.75" customHeight="1" s="199"/>
    <row r="495" ht="15.75" customHeight="1" s="199"/>
    <row r="496" ht="15.75" customHeight="1" s="199"/>
    <row r="497" ht="15.75" customHeight="1" s="199"/>
    <row r="498" ht="15.75" customHeight="1" s="199"/>
    <row r="499" ht="15.75" customHeight="1" s="199"/>
    <row r="500" ht="15.75" customHeight="1" s="199"/>
    <row r="501" ht="15.75" customHeight="1" s="199"/>
    <row r="502" ht="15.75" customHeight="1" s="199"/>
    <row r="503" ht="15.75" customHeight="1" s="199"/>
    <row r="504" ht="15.75" customHeight="1" s="199"/>
    <row r="505" ht="15.75" customHeight="1" s="199"/>
    <row r="506" ht="15.75" customHeight="1" s="199"/>
    <row r="507" ht="15.75" customHeight="1" s="199"/>
    <row r="508" ht="15.75" customHeight="1" s="199"/>
    <row r="509" ht="15.75" customHeight="1" s="199"/>
    <row r="510" ht="15.75" customHeight="1" s="199"/>
    <row r="511" ht="15.75" customHeight="1" s="199"/>
    <row r="512" ht="15.75" customHeight="1" s="199"/>
    <row r="513" ht="15.75" customHeight="1" s="199"/>
    <row r="514" ht="15.75" customHeight="1" s="199"/>
    <row r="515" ht="15.75" customHeight="1" s="199"/>
    <row r="516" ht="15.75" customHeight="1" s="199"/>
    <row r="517" ht="15.75" customHeight="1" s="199"/>
    <row r="518" ht="15.75" customHeight="1" s="199"/>
    <row r="519" ht="15.75" customHeight="1" s="199"/>
    <row r="520" ht="15.75" customHeight="1" s="199"/>
    <row r="521" ht="15.75" customHeight="1" s="199"/>
    <row r="522" ht="15.75" customHeight="1" s="199"/>
    <row r="523" ht="15.75" customHeight="1" s="199"/>
    <row r="524" ht="15.75" customHeight="1" s="199"/>
    <row r="525" ht="15.75" customHeight="1" s="199"/>
    <row r="526" ht="15.75" customHeight="1" s="199"/>
    <row r="527" ht="15.75" customHeight="1" s="199"/>
    <row r="528" ht="15.75" customHeight="1" s="199"/>
    <row r="529" ht="15.75" customHeight="1" s="199"/>
    <row r="530" ht="15.75" customHeight="1" s="199"/>
    <row r="531" ht="15.75" customHeight="1" s="199"/>
    <row r="532" ht="15.75" customHeight="1" s="199"/>
    <row r="533" ht="15.75" customHeight="1" s="199"/>
    <row r="534" ht="15.75" customHeight="1" s="199"/>
    <row r="535" ht="15.75" customHeight="1" s="199"/>
    <row r="536" ht="15.75" customHeight="1" s="199"/>
    <row r="537" ht="15.75" customHeight="1" s="199"/>
    <row r="538" ht="15.75" customHeight="1" s="199"/>
    <row r="539" ht="15.75" customHeight="1" s="199"/>
    <row r="540" ht="15.75" customHeight="1" s="199"/>
    <row r="541" ht="15.75" customHeight="1" s="199"/>
    <row r="542" ht="15.75" customHeight="1" s="199"/>
    <row r="543" ht="15.75" customHeight="1" s="199"/>
    <row r="544" ht="15.75" customHeight="1" s="199"/>
    <row r="545" ht="15.75" customHeight="1" s="199"/>
    <row r="546" ht="15.75" customHeight="1" s="199"/>
    <row r="547" ht="15.75" customHeight="1" s="199"/>
    <row r="548" ht="15.75" customHeight="1" s="199"/>
    <row r="549" ht="15.75" customHeight="1" s="199"/>
    <row r="550" ht="15.75" customHeight="1" s="199"/>
    <row r="551" ht="15.75" customHeight="1" s="199"/>
    <row r="552" ht="15.75" customHeight="1" s="199"/>
    <row r="553" ht="15.75" customHeight="1" s="199"/>
    <row r="554" ht="15.75" customHeight="1" s="199"/>
    <row r="555" ht="15.75" customHeight="1" s="199"/>
    <row r="556" ht="15.75" customHeight="1" s="199"/>
    <row r="557" ht="15.75" customHeight="1" s="199"/>
    <row r="558" ht="15.75" customHeight="1" s="199"/>
    <row r="559" ht="15.75" customHeight="1" s="199"/>
    <row r="560" ht="15.75" customHeight="1" s="199"/>
    <row r="561" ht="15.75" customHeight="1" s="199"/>
    <row r="562" ht="15.75" customHeight="1" s="199"/>
    <row r="563" ht="15.75" customHeight="1" s="199"/>
    <row r="564" ht="15.75" customHeight="1" s="199"/>
    <row r="565" ht="15.75" customHeight="1" s="199"/>
    <row r="566" ht="15.75" customHeight="1" s="199"/>
    <row r="567" ht="15.75" customHeight="1" s="199"/>
    <row r="568" ht="15.75" customHeight="1" s="199"/>
    <row r="569" ht="15.75" customHeight="1" s="199"/>
    <row r="570" ht="15.75" customHeight="1" s="199"/>
    <row r="571" ht="15.75" customHeight="1" s="199"/>
    <row r="572" ht="15.75" customHeight="1" s="199"/>
    <row r="573" ht="15.75" customHeight="1" s="199"/>
    <row r="574" ht="15.75" customHeight="1" s="199"/>
    <row r="575" ht="15.75" customHeight="1" s="199"/>
    <row r="576" ht="15.75" customHeight="1" s="199"/>
    <row r="577" ht="15.75" customHeight="1" s="199"/>
    <row r="578" ht="15.75" customHeight="1" s="199"/>
    <row r="579" ht="15.75" customHeight="1" s="199"/>
    <row r="580" ht="15.75" customHeight="1" s="199"/>
    <row r="581" ht="15.75" customHeight="1" s="199"/>
    <row r="582" ht="15.75" customHeight="1" s="199"/>
    <row r="583" ht="15.75" customHeight="1" s="199"/>
    <row r="584" ht="15.75" customHeight="1" s="199"/>
    <row r="585" ht="15.75" customHeight="1" s="199"/>
    <row r="586" ht="15.75" customHeight="1" s="199"/>
    <row r="587" ht="15.75" customHeight="1" s="199"/>
    <row r="588" ht="15.75" customHeight="1" s="199"/>
    <row r="589" ht="15.75" customHeight="1" s="199"/>
    <row r="590" ht="15.75" customHeight="1" s="199"/>
    <row r="591" ht="15.75" customHeight="1" s="199"/>
    <row r="592" ht="15.75" customHeight="1" s="199"/>
    <row r="593" ht="15.75" customHeight="1" s="199"/>
    <row r="594" ht="15.75" customHeight="1" s="199"/>
    <row r="595" ht="15.75" customHeight="1" s="199"/>
    <row r="596" ht="15.75" customHeight="1" s="199"/>
    <row r="597" ht="15.75" customHeight="1" s="199"/>
    <row r="598" ht="15.75" customHeight="1" s="199"/>
    <row r="599" ht="15.75" customHeight="1" s="199"/>
    <row r="600" ht="15.75" customHeight="1" s="199"/>
    <row r="601" ht="15.75" customHeight="1" s="199"/>
    <row r="602" ht="15.75" customHeight="1" s="199"/>
    <row r="603" ht="15.75" customHeight="1" s="199"/>
    <row r="604" ht="15.75" customHeight="1" s="199"/>
    <row r="605" ht="15.75" customHeight="1" s="199"/>
    <row r="606" ht="15.75" customHeight="1" s="199"/>
    <row r="607" ht="15.75" customHeight="1" s="199"/>
    <row r="608" ht="15.75" customHeight="1" s="199"/>
    <row r="609" ht="15.75" customHeight="1" s="199"/>
    <row r="610" ht="15.75" customHeight="1" s="199"/>
    <row r="611" ht="15.75" customHeight="1" s="199"/>
    <row r="612" ht="15.75" customHeight="1" s="199"/>
    <row r="613" ht="15.75" customHeight="1" s="199"/>
    <row r="614" ht="15.75" customHeight="1" s="199"/>
    <row r="615" ht="15.75" customHeight="1" s="199"/>
    <row r="616" ht="15.75" customHeight="1" s="199"/>
    <row r="617" ht="15.75" customHeight="1" s="199"/>
    <row r="618" ht="15.75" customHeight="1" s="199"/>
    <row r="619" ht="15.75" customHeight="1" s="199"/>
    <row r="620" ht="15.75" customHeight="1" s="199"/>
    <row r="621" ht="15.75" customHeight="1" s="199"/>
    <row r="622" ht="15.75" customHeight="1" s="199"/>
    <row r="623" ht="15.75" customHeight="1" s="199"/>
    <row r="624" ht="15.75" customHeight="1" s="199"/>
    <row r="625" ht="15.75" customHeight="1" s="199"/>
    <row r="626" ht="15.75" customHeight="1" s="199"/>
    <row r="627" ht="15.75" customHeight="1" s="199"/>
    <row r="628" ht="15.75" customHeight="1" s="199"/>
    <row r="629" ht="15.75" customHeight="1" s="199"/>
    <row r="630" ht="15.75" customHeight="1" s="199"/>
    <row r="631" ht="15.75" customHeight="1" s="199"/>
    <row r="632" ht="15.75" customHeight="1" s="199"/>
    <row r="633" ht="15.75" customHeight="1" s="199"/>
    <row r="634" ht="15.75" customHeight="1" s="199"/>
    <row r="635" ht="15.75" customHeight="1" s="199"/>
    <row r="636" ht="15.75" customHeight="1" s="199"/>
    <row r="637" ht="15.75" customHeight="1" s="199"/>
    <row r="638" ht="15.75" customHeight="1" s="199"/>
    <row r="639" ht="15.75" customHeight="1" s="199"/>
    <row r="640" ht="15.75" customHeight="1" s="199"/>
    <row r="641" ht="15.75" customHeight="1" s="199"/>
    <row r="642" ht="15.75" customHeight="1" s="199"/>
    <row r="643" ht="15.75" customHeight="1" s="199"/>
    <row r="644" ht="15.75" customHeight="1" s="199"/>
    <row r="645" ht="15.75" customHeight="1" s="199"/>
    <row r="646" ht="15.75" customHeight="1" s="199"/>
    <row r="647" ht="15.75" customHeight="1" s="199"/>
    <row r="648" ht="15.75" customHeight="1" s="199"/>
    <row r="649" ht="15.75" customHeight="1" s="199"/>
    <row r="650" ht="15.75" customHeight="1" s="199"/>
    <row r="651" ht="15.75" customHeight="1" s="199"/>
    <row r="652" ht="15.75" customHeight="1" s="199"/>
    <row r="653" ht="15.75" customHeight="1" s="199"/>
    <row r="654" ht="15.75" customHeight="1" s="199"/>
    <row r="655" ht="15.75" customHeight="1" s="199"/>
    <row r="656" ht="15.75" customHeight="1" s="199"/>
    <row r="657" ht="15.75" customHeight="1" s="199"/>
    <row r="658" ht="15.75" customHeight="1" s="199"/>
    <row r="659" ht="15.75" customHeight="1" s="199"/>
    <row r="660" ht="15.75" customHeight="1" s="199"/>
    <row r="661" ht="15.75" customHeight="1" s="199"/>
    <row r="662" ht="15.75" customHeight="1" s="199"/>
    <row r="663" ht="15.75" customHeight="1" s="199"/>
    <row r="664" ht="15.75" customHeight="1" s="199"/>
    <row r="665" ht="15.75" customHeight="1" s="199"/>
    <row r="666" ht="15.75" customHeight="1" s="199"/>
    <row r="667" ht="15.75" customHeight="1" s="199"/>
    <row r="668" ht="15.75" customHeight="1" s="199"/>
    <row r="669" ht="15.75" customHeight="1" s="199"/>
    <row r="670" ht="15.75" customHeight="1" s="199"/>
    <row r="671" ht="15.75" customHeight="1" s="199"/>
    <row r="672" ht="15.75" customHeight="1" s="199"/>
    <row r="673" ht="15.75" customHeight="1" s="199"/>
    <row r="674" ht="15.75" customHeight="1" s="199"/>
    <row r="675" ht="15.75" customHeight="1" s="199"/>
    <row r="676" ht="15.75" customHeight="1" s="199"/>
    <row r="677" ht="15.75" customHeight="1" s="199"/>
    <row r="678" ht="15.75" customHeight="1" s="199"/>
    <row r="679" ht="15.75" customHeight="1" s="199"/>
    <row r="680" ht="15.75" customHeight="1" s="199"/>
    <row r="681" ht="15.75" customHeight="1" s="199"/>
    <row r="682" ht="15.75" customHeight="1" s="199"/>
    <row r="683" ht="15.75" customHeight="1" s="199"/>
    <row r="684" ht="15.75" customHeight="1" s="199"/>
    <row r="685" ht="15.75" customHeight="1" s="199"/>
    <row r="686" ht="15.75" customHeight="1" s="199"/>
    <row r="687" ht="15.75" customHeight="1" s="199"/>
    <row r="688" ht="15.75" customHeight="1" s="199"/>
    <row r="689" ht="15.75" customHeight="1" s="199"/>
    <row r="690" ht="15.75" customHeight="1" s="199"/>
    <row r="691" ht="15.75" customHeight="1" s="199"/>
    <row r="692" ht="15.75" customHeight="1" s="199"/>
    <row r="693" ht="15.75" customHeight="1" s="199"/>
    <row r="694" ht="15.75" customHeight="1" s="199"/>
    <row r="695" ht="15.75" customHeight="1" s="199"/>
    <row r="696" ht="15.75" customHeight="1" s="199"/>
    <row r="697" ht="15.75" customHeight="1" s="199"/>
    <row r="698" ht="15.75" customHeight="1" s="199"/>
    <row r="699" ht="15.75" customHeight="1" s="199"/>
    <row r="700" ht="15.75" customHeight="1" s="199"/>
    <row r="701" ht="15.75" customHeight="1" s="199"/>
    <row r="702" ht="15.75" customHeight="1" s="199"/>
    <row r="703" ht="15.75" customHeight="1" s="199"/>
    <row r="704" ht="15.75" customHeight="1" s="199"/>
    <row r="705" ht="15.75" customHeight="1" s="199"/>
    <row r="706" ht="15.75" customHeight="1" s="199"/>
    <row r="707" ht="15.75" customHeight="1" s="199"/>
    <row r="708" ht="15.75" customHeight="1" s="199"/>
    <row r="709" ht="15.75" customHeight="1" s="199"/>
    <row r="710" ht="15.75" customHeight="1" s="199"/>
    <row r="711" ht="15.75" customHeight="1" s="199"/>
    <row r="712" ht="15.75" customHeight="1" s="199"/>
    <row r="713" ht="15.75" customHeight="1" s="199"/>
    <row r="714" ht="15.75" customHeight="1" s="199"/>
    <row r="715" ht="15.75" customHeight="1" s="199"/>
    <row r="716" ht="15.75" customHeight="1" s="199"/>
    <row r="717" ht="15.75" customHeight="1" s="199"/>
    <row r="718" ht="15.75" customHeight="1" s="199"/>
    <row r="719" ht="15.75" customHeight="1" s="199"/>
    <row r="720" ht="15.75" customHeight="1" s="199"/>
    <row r="721" ht="15.75" customHeight="1" s="199"/>
    <row r="722" ht="15.75" customHeight="1" s="199"/>
    <row r="723" ht="15.75" customHeight="1" s="199"/>
    <row r="724" ht="15.75" customHeight="1" s="199"/>
    <row r="725" ht="15.75" customHeight="1" s="199"/>
    <row r="726" ht="15.75" customHeight="1" s="199"/>
    <row r="727" ht="15.75" customHeight="1" s="199"/>
    <row r="728" ht="15.75" customHeight="1" s="199"/>
    <row r="729" ht="15.75" customHeight="1" s="199"/>
    <row r="730" ht="15.75" customHeight="1" s="199"/>
    <row r="731" ht="15.75" customHeight="1" s="199"/>
    <row r="732" ht="15.75" customHeight="1" s="199"/>
    <row r="733" ht="15.75" customHeight="1" s="199"/>
    <row r="734" ht="15.75" customHeight="1" s="199"/>
    <row r="735" ht="15.75" customHeight="1" s="199"/>
    <row r="736" ht="15.75" customHeight="1" s="199"/>
    <row r="737" ht="15.75" customHeight="1" s="199"/>
    <row r="738" ht="15.75" customHeight="1" s="199"/>
    <row r="739" ht="15.75" customHeight="1" s="199"/>
    <row r="740" ht="15.75" customHeight="1" s="199"/>
    <row r="741" ht="15.75" customHeight="1" s="199"/>
    <row r="742" ht="15.75" customHeight="1" s="199"/>
    <row r="743" ht="15.75" customHeight="1" s="199"/>
    <row r="744" ht="15.75" customHeight="1" s="199"/>
    <row r="745" ht="15.75" customHeight="1" s="199"/>
    <row r="746" ht="15.75" customHeight="1" s="199"/>
    <row r="747" ht="15.75" customHeight="1" s="199"/>
    <row r="748" ht="15.75" customHeight="1" s="199"/>
    <row r="749" ht="15.75" customHeight="1" s="199"/>
    <row r="750" ht="15.75" customHeight="1" s="199"/>
    <row r="751" ht="15.75" customHeight="1" s="199"/>
    <row r="752" ht="15.75" customHeight="1" s="199"/>
    <row r="753" ht="15.75" customHeight="1" s="199"/>
    <row r="754" ht="15.75" customHeight="1" s="199"/>
    <row r="755" ht="15.75" customHeight="1" s="199"/>
    <row r="756" ht="15.75" customHeight="1" s="199"/>
    <row r="757" ht="15.75" customHeight="1" s="199"/>
    <row r="758" ht="15.75" customHeight="1" s="199"/>
    <row r="759" ht="15.75" customHeight="1" s="199"/>
    <row r="760" ht="15.75" customHeight="1" s="199"/>
    <row r="761" ht="15.75" customHeight="1" s="199"/>
    <row r="762" ht="15.75" customHeight="1" s="199"/>
    <row r="763" ht="15.75" customHeight="1" s="199"/>
    <row r="764" ht="15.75" customHeight="1" s="199"/>
    <row r="765" ht="15.75" customHeight="1" s="199"/>
    <row r="766" ht="15.75" customHeight="1" s="199"/>
    <row r="767" ht="15.75" customHeight="1" s="199"/>
    <row r="768" ht="15.75" customHeight="1" s="199"/>
    <row r="769" ht="15.75" customHeight="1" s="199"/>
    <row r="770" ht="15.75" customHeight="1" s="199"/>
    <row r="771" ht="15.75" customHeight="1" s="199"/>
    <row r="772" ht="15.75" customHeight="1" s="199"/>
    <row r="773" ht="15.75" customHeight="1" s="199"/>
    <row r="774" ht="15.75" customHeight="1" s="199"/>
    <row r="775" ht="15.75" customHeight="1" s="199"/>
    <row r="776" ht="15.75" customHeight="1" s="199"/>
    <row r="777" ht="15.75" customHeight="1" s="199"/>
    <row r="778" ht="15.75" customHeight="1" s="199"/>
    <row r="779" ht="15.75" customHeight="1" s="199"/>
    <row r="780" ht="15.75" customHeight="1" s="199"/>
    <row r="781" ht="15.75" customHeight="1" s="199"/>
    <row r="782" ht="15.75" customHeight="1" s="199"/>
    <row r="783" ht="15.75" customHeight="1" s="199"/>
    <row r="784" ht="15.75" customHeight="1" s="199"/>
    <row r="785" ht="15.75" customHeight="1" s="199"/>
    <row r="786" ht="15.75" customHeight="1" s="199"/>
    <row r="787" ht="15.75" customHeight="1" s="199"/>
    <row r="788" ht="15.75" customHeight="1" s="199"/>
    <row r="789" ht="15.75" customHeight="1" s="199"/>
    <row r="790" ht="15.75" customHeight="1" s="199"/>
    <row r="791" ht="15.75" customHeight="1" s="199"/>
    <row r="792" ht="15.75" customHeight="1" s="199"/>
    <row r="793" ht="15.75" customHeight="1" s="199"/>
    <row r="794" ht="15.75" customHeight="1" s="199"/>
    <row r="795" ht="15.75" customHeight="1" s="199"/>
    <row r="796" ht="15.75" customHeight="1" s="199"/>
    <row r="797" ht="15.75" customHeight="1" s="199"/>
    <row r="798" ht="15.75" customHeight="1" s="199"/>
    <row r="799" ht="15.75" customHeight="1" s="199"/>
    <row r="800" ht="15.75" customHeight="1" s="199"/>
    <row r="801" ht="15.75" customHeight="1" s="199"/>
    <row r="802" ht="15.75" customHeight="1" s="199"/>
    <row r="803" ht="15.75" customHeight="1" s="199"/>
    <row r="804" ht="15.75" customHeight="1" s="199"/>
    <row r="805" ht="15.75" customHeight="1" s="199"/>
    <row r="806" ht="15.75" customHeight="1" s="199"/>
    <row r="807" ht="15.75" customHeight="1" s="199"/>
    <row r="808" ht="15.75" customHeight="1" s="199"/>
    <row r="809" ht="15.75" customHeight="1" s="199"/>
    <row r="810" ht="15.75" customHeight="1" s="199"/>
    <row r="811" ht="15.75" customHeight="1" s="199"/>
    <row r="812" ht="15.75" customHeight="1" s="199"/>
    <row r="813" ht="15.75" customHeight="1" s="199"/>
    <row r="814" ht="15.75" customHeight="1" s="199"/>
    <row r="815" ht="15.75" customHeight="1" s="199"/>
    <row r="816" ht="15.75" customHeight="1" s="199"/>
    <row r="817" ht="15.75" customHeight="1" s="199"/>
    <row r="818" ht="15.75" customHeight="1" s="199"/>
    <row r="819" ht="15.75" customHeight="1" s="199"/>
    <row r="820" ht="15.75" customHeight="1" s="199"/>
    <row r="821" ht="15.75" customHeight="1" s="199"/>
    <row r="822" ht="15.75" customHeight="1" s="199"/>
    <row r="823" ht="15.75" customHeight="1" s="199"/>
    <row r="824" ht="15.75" customHeight="1" s="199"/>
    <row r="825" ht="15.75" customHeight="1" s="199"/>
    <row r="826" ht="15.75" customHeight="1" s="199"/>
    <row r="827" ht="15.75" customHeight="1" s="199"/>
    <row r="828" ht="15.75" customHeight="1" s="199"/>
    <row r="829" ht="15.75" customHeight="1" s="199"/>
    <row r="830" ht="15.75" customHeight="1" s="199"/>
    <row r="831" ht="15.75" customHeight="1" s="199"/>
    <row r="832" ht="15.75" customHeight="1" s="199"/>
    <row r="833" ht="15.75" customHeight="1" s="199"/>
    <row r="834" ht="15.75" customHeight="1" s="199"/>
    <row r="835" ht="15.75" customHeight="1" s="199"/>
    <row r="836" ht="15.75" customHeight="1" s="199"/>
    <row r="837" ht="15.75" customHeight="1" s="199"/>
    <row r="838" ht="15.75" customHeight="1" s="199"/>
    <row r="839" ht="15.75" customHeight="1" s="199"/>
    <row r="840" ht="15.75" customHeight="1" s="199"/>
    <row r="841" ht="15.75" customHeight="1" s="199"/>
    <row r="842" ht="15.75" customHeight="1" s="199"/>
    <row r="843" ht="15.75" customHeight="1" s="199"/>
    <row r="844" ht="15.75" customHeight="1" s="199"/>
    <row r="845" ht="15.75" customHeight="1" s="199"/>
    <row r="846" ht="15.75" customHeight="1" s="199"/>
    <row r="847" ht="15.75" customHeight="1" s="199"/>
    <row r="848" ht="15.75" customHeight="1" s="199"/>
    <row r="849" ht="15.75" customHeight="1" s="199"/>
    <row r="850" ht="15.75" customHeight="1" s="199"/>
    <row r="851" ht="15.75" customHeight="1" s="199"/>
    <row r="852" ht="15.75" customHeight="1" s="199"/>
    <row r="853" ht="15.75" customHeight="1" s="199"/>
    <row r="854" ht="15.75" customHeight="1" s="199"/>
    <row r="855" ht="15.75" customHeight="1" s="199"/>
    <row r="856" ht="15.75" customHeight="1" s="199"/>
    <row r="857" ht="15.75" customHeight="1" s="199"/>
    <row r="858" ht="15.75" customHeight="1" s="199"/>
    <row r="859" ht="15.75" customHeight="1" s="199"/>
    <row r="860" ht="15.75" customHeight="1" s="199"/>
    <row r="861" ht="15.75" customHeight="1" s="199"/>
    <row r="862" ht="15.75" customHeight="1" s="199"/>
    <row r="863" ht="15.75" customHeight="1" s="199"/>
    <row r="864" ht="15.75" customHeight="1" s="199"/>
    <row r="865" ht="15.75" customHeight="1" s="199"/>
    <row r="866" ht="15.75" customHeight="1" s="199"/>
    <row r="867" ht="15.75" customHeight="1" s="199"/>
    <row r="868" ht="15.75" customHeight="1" s="199"/>
    <row r="869" ht="15.75" customHeight="1" s="199"/>
    <row r="870" ht="15.75" customHeight="1" s="199"/>
    <row r="871" ht="15.75" customHeight="1" s="199"/>
    <row r="872" ht="15.75" customHeight="1" s="199"/>
    <row r="873" ht="15.75" customHeight="1" s="199"/>
    <row r="874" ht="15.75" customHeight="1" s="199"/>
    <row r="875" ht="15.75" customHeight="1" s="199"/>
    <row r="876" ht="15.75" customHeight="1" s="199"/>
    <row r="877" ht="15.75" customHeight="1" s="199"/>
    <row r="878" ht="15.75" customHeight="1" s="199"/>
    <row r="879" ht="15.75" customHeight="1" s="199"/>
    <row r="880" ht="15.75" customHeight="1" s="199"/>
    <row r="881" ht="15.75" customHeight="1" s="199"/>
    <row r="882" ht="15.75" customHeight="1" s="199"/>
    <row r="883" ht="15.75" customHeight="1" s="199"/>
    <row r="884" ht="15.75" customHeight="1" s="199"/>
    <row r="885" ht="15.75" customHeight="1" s="199"/>
    <row r="886" ht="15.75" customHeight="1" s="199"/>
    <row r="887" ht="15.75" customHeight="1" s="199"/>
    <row r="888" ht="15.75" customHeight="1" s="199"/>
    <row r="889" ht="15.75" customHeight="1" s="199"/>
    <row r="890" ht="15.75" customHeight="1" s="199"/>
    <row r="891" ht="15.75" customHeight="1" s="199"/>
    <row r="892" ht="15.75" customHeight="1" s="199"/>
    <row r="893" ht="15.75" customHeight="1" s="199"/>
    <row r="894" ht="15.75" customHeight="1" s="199"/>
    <row r="895" ht="15.75" customHeight="1" s="199"/>
    <row r="896" ht="15.75" customHeight="1" s="199"/>
    <row r="897" ht="15.75" customHeight="1" s="199"/>
    <row r="898" ht="15.75" customHeight="1" s="199"/>
    <row r="899" ht="15.75" customHeight="1" s="199"/>
    <row r="900" ht="15.75" customHeight="1" s="199"/>
    <row r="901" ht="15.75" customHeight="1" s="199"/>
    <row r="902" ht="15.75" customHeight="1" s="199"/>
    <row r="903" ht="15.75" customHeight="1" s="199"/>
    <row r="904" ht="15.75" customHeight="1" s="199"/>
    <row r="905" ht="15.75" customHeight="1" s="199"/>
    <row r="906" ht="15.75" customHeight="1" s="199"/>
    <row r="907" ht="15.75" customHeight="1" s="199"/>
    <row r="908" ht="15.75" customHeight="1" s="199"/>
    <row r="909" ht="15.75" customHeight="1" s="199"/>
    <row r="910" ht="15.75" customHeight="1" s="199"/>
    <row r="911" ht="15.75" customHeight="1" s="199"/>
    <row r="912" ht="15.75" customHeight="1" s="199"/>
    <row r="913" ht="15.75" customHeight="1" s="199"/>
    <row r="914" ht="15.75" customHeight="1" s="199"/>
    <row r="915" ht="15.75" customHeight="1" s="199"/>
    <row r="916" ht="15.75" customHeight="1" s="199"/>
    <row r="917" ht="15.75" customHeight="1" s="199"/>
    <row r="918" ht="15.75" customHeight="1" s="199"/>
    <row r="919" ht="15.75" customHeight="1" s="199"/>
    <row r="920" ht="15.75" customHeight="1" s="199"/>
    <row r="921" ht="15.75" customHeight="1" s="199"/>
    <row r="922" ht="15.75" customHeight="1" s="199"/>
    <row r="923" ht="15.75" customHeight="1" s="199"/>
    <row r="924" ht="15.75" customHeight="1" s="199"/>
    <row r="925" ht="15.75" customHeight="1" s="199"/>
    <row r="926" ht="15.75" customHeight="1" s="199"/>
    <row r="927" ht="15.75" customHeight="1" s="199"/>
    <row r="928" ht="15.75" customHeight="1" s="199"/>
    <row r="929" ht="15.75" customHeight="1" s="199"/>
    <row r="930" ht="15.75" customHeight="1" s="199"/>
    <row r="931" ht="15.75" customHeight="1" s="199"/>
    <row r="932" ht="15.75" customHeight="1" s="199"/>
    <row r="933" ht="15.75" customHeight="1" s="199"/>
    <row r="934" ht="15.75" customHeight="1" s="199"/>
    <row r="935" ht="15.75" customHeight="1" s="199"/>
    <row r="936" ht="15.75" customHeight="1" s="199"/>
    <row r="937" ht="15.75" customHeight="1" s="199"/>
    <row r="938" ht="15.75" customHeight="1" s="199"/>
    <row r="939" ht="15.75" customHeight="1" s="199"/>
    <row r="940" ht="15.75" customHeight="1" s="199"/>
    <row r="941" ht="15.75" customHeight="1" s="199"/>
    <row r="942" ht="15.75" customHeight="1" s="199"/>
    <row r="943" ht="15.75" customHeight="1" s="199"/>
    <row r="944" ht="15.75" customHeight="1" s="199"/>
    <row r="945" ht="15.75" customHeight="1" s="199"/>
    <row r="946" ht="15.75" customHeight="1" s="199"/>
    <row r="947" ht="15.75" customHeight="1" s="199"/>
    <row r="948" ht="15.75" customHeight="1" s="199"/>
    <row r="949" ht="15.75" customHeight="1" s="199"/>
    <row r="950" ht="15.75" customHeight="1" s="199"/>
    <row r="951" ht="15.75" customHeight="1" s="199"/>
    <row r="952" ht="15.75" customHeight="1" s="199"/>
    <row r="953" ht="15.75" customHeight="1" s="199"/>
    <row r="954" ht="15.75" customHeight="1" s="199"/>
    <row r="955" ht="15.75" customHeight="1" s="199"/>
    <row r="956" ht="15.75" customHeight="1" s="199"/>
    <row r="957" ht="15.75" customHeight="1" s="199"/>
    <row r="958" ht="15.75" customHeight="1" s="199"/>
    <row r="959" ht="15.75" customHeight="1" s="199"/>
    <row r="960" ht="15.75" customHeight="1" s="199"/>
    <row r="961" ht="15.75" customHeight="1" s="199"/>
    <row r="962" ht="15.75" customHeight="1" s="199"/>
    <row r="963" ht="15.75" customHeight="1" s="199"/>
    <row r="964" ht="15.75" customHeight="1" s="199"/>
    <row r="965" ht="15.75" customHeight="1" s="199"/>
    <row r="966" ht="15.75" customHeight="1" s="199"/>
    <row r="967" ht="15.75" customHeight="1" s="199"/>
    <row r="968" ht="15.75" customHeight="1" s="199"/>
    <row r="969" ht="15.75" customHeight="1" s="199"/>
    <row r="970" ht="15.75" customHeight="1" s="199"/>
    <row r="971" ht="15.75" customHeight="1" s="199"/>
    <row r="972" ht="15.75" customHeight="1" s="199"/>
    <row r="973" ht="15.75" customHeight="1" s="199"/>
    <row r="974" ht="15.75" customHeight="1" s="199"/>
    <row r="975" ht="15.75" customHeight="1" s="199"/>
    <row r="976" ht="15.75" customHeight="1" s="199"/>
    <row r="977" ht="15.75" customHeight="1" s="199"/>
    <row r="978" ht="15.75" customHeight="1" s="199"/>
    <row r="979" ht="15.75" customHeight="1" s="199"/>
    <row r="980" ht="15.75" customHeight="1" s="199"/>
    <row r="981" ht="15.75" customHeight="1" s="199"/>
    <row r="982" ht="15.75" customHeight="1" s="199"/>
    <row r="983" ht="15.75" customHeight="1" s="199"/>
    <row r="984" ht="15.75" customHeight="1" s="199"/>
    <row r="985" ht="15.75" customHeight="1" s="199"/>
    <row r="986" ht="15.75" customHeight="1" s="199"/>
    <row r="987" ht="15.75" customHeight="1" s="199"/>
    <row r="988" ht="15.75" customHeight="1" s="199"/>
    <row r="989" ht="15.75" customHeight="1" s="199"/>
    <row r="990" ht="15.75" customHeight="1" s="199"/>
    <row r="991" ht="15.75" customHeight="1" s="199"/>
    <row r="992" ht="15.75" customHeight="1" s="199"/>
    <row r="993" ht="15.75" customHeight="1" s="199"/>
    <row r="994" ht="15.75" customHeight="1" s="199"/>
    <row r="995" ht="15.75" customHeight="1" s="199"/>
    <row r="996" ht="15.75" customHeight="1" s="199"/>
    <row r="997" ht="15.75" customHeight="1" s="199"/>
    <row r="998" ht="15.75" customHeight="1" s="199"/>
    <row r="999" ht="15.75" customHeight="1" s="199"/>
    <row r="1000" ht="15.75" customHeight="1" s="199"/>
  </sheetData>
  <autoFilter ref="$A$4:$I$47"/>
  <mergeCells count="2">
    <mergeCell ref="H3:J3"/>
    <mergeCell ref="A3:G3"/>
  </mergeCells>
  <pageMargins left="0.7086614173228347" right="0.7086614173228347" top="0.7874015748031497" bottom="0.7874015748031497" header="0" footer="0"/>
  <pageSetup orientation="portrait" paperSize="9" fitToHeight="0"/>
  <headerFooter>
    <oddHeader/>
    <oddFooter>&amp;C&amp;P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2026-07-02T18:54:58Z</dcterms:created>
  <dcterms:modified xmlns:dcterms="http://purl.org/dc/terms/" xmlns:xsi="http://www.w3.org/2001/XMLSchema-instance" xsi:type="dcterms:W3CDTF">2026-07-02T19:02:02Z</dcterms:modified>
</cp:coreProperties>
</file>